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002043780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总览" sheetId="1" r:id="Rbbf196e0e30742e0"/>
    <x:sheet xmlns:r="http://schemas.openxmlformats.org/officeDocument/2006/relationships" name="功能明细" sheetId="2" r:id="Rb907476a804a47b9"/>
    <x:sheet xmlns:r="http://schemas.openxmlformats.org/officeDocument/2006/relationships" name="导航映射" sheetId="3" r:id="R2cd28a6dcc2343df"/>
    <x:sheet xmlns:r="http://schemas.openxmlformats.org/officeDocument/2006/relationships" name="来源说明" sheetId="4" r:id="Re34ee5228444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EAF2F8"/>
      </x:patternFill>
    </x:fill>
    <x:fill>
      <x:patternFill patternType="solid">
        <x:fgColor rgb="FF1F2937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0" fillId="5" borderId="2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ce9244e4f4555" /><Relationship Type="http://schemas.openxmlformats.org/officeDocument/2006/relationships/theme" Target="/xl/theme/theme1.xml" Id="R6e71afb735a94c6e" /><Relationship Type="http://schemas.openxmlformats.org/officeDocument/2006/relationships/sharedStrings" Target="/xl/sharedStrings.xml" Id="R9cb12fc4e26b47a0" /><Relationship Type="http://schemas.openxmlformats.org/officeDocument/2006/relationships/worksheet" Target="/xl/worksheets/sheet1.xml" Id="Rbbf196e0e30742e0" /><Relationship Type="http://schemas.openxmlformats.org/officeDocument/2006/relationships/worksheet" Target="/xl/worksheets/sheet2.xml" Id="Rb907476a804a47b9" /><Relationship Type="http://schemas.openxmlformats.org/officeDocument/2006/relationships/worksheet" Target="/xl/worksheets/sheet3.xml" Id="R2cd28a6dcc2343df" /><Relationship Type="http://schemas.openxmlformats.org/officeDocument/2006/relationships/worksheet" Target="/xl/worksheets/sheet4.xml" Id="Re34ee522844448bf" /></Relationships>
</file>

<file path=xl/tables/table1.xml><?xml version="1.0" encoding="utf-8"?>
<x:table xmlns:x="http://schemas.openxmlformats.org/spreadsheetml/2006/main" id="4" name="ModuleSummaryTable" displayName="ModuleSummaryTable" ref="A11:D33" headerRowCount="1" totalsRowCount="0" totalsRowShown="0">
  <x:autoFilter ref="A11:D33"/>
  <x:tableColumns count="4">
    <x:tableColumn id="1" name="一级模块"/>
    <x:tableColumn id="2" name="功能数量"/>
    <x:tableColumn id="3" name="路由/入口覆盖"/>
    <x:tableColumn id="4" name="主要来源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" name="StatusSummaryTable" displayName="StatusSummaryTable" ref="F11:G29" headerRowCount="1" totalsRowCount="0" totalsRowShown="0">
  <x:autoFilter ref="F11:G29"/>
  <x:tableColumns count="2">
    <x:tableColumn id="1" name="当前状态"/>
    <x:tableColumn id="2" name="功能数量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1" name="FeatureDetailTable" displayName="FeatureDetailTable" ref="A4:I230" headerRowCount="1" totalsRowCount="0" totalsRowShown="0">
  <x:autoFilter ref="A4:I230"/>
  <x:tableColumns count="9">
    <x:tableColumn id="1" name="一级模块"/>
    <x:tableColumn id="2" name="二级模块/页面"/>
    <x:tableColumn id="3" name="功能项"/>
    <x:tableColumn id="4" name="功能说明"/>
    <x:tableColumn id="5" name="主要操作/业务规则"/>
    <x:tableColumn id="6" name="关联数据/字段"/>
    <x:tableColumn id="7" name="路由/菜单"/>
    <x:tableColumn id="8" name="当前状态"/>
    <x:tableColumn id="9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NavigationTable" displayName="NavigationTable" ref="A4:E58" headerRowCount="1" totalsRowCount="0" totalsRowShown="0">
  <x:autoFilter ref="A4:E58"/>
  <x:tableColumns count="5">
    <x:tableColumn id="1" name="一级菜单"/>
    <x:tableColumn id="2" name="子菜单/页面"/>
    <x:tableColumn id="3" name="路由"/>
    <x:tableColumn id="4" name="组件"/>
    <x:tableColumn id="5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SourceTable" displayName="SourceTable" ref="A4:D13" headerRowCount="1" totalsRowCount="0" totalsRowShown="0">
  <x:autoFilter ref="A4:D13"/>
  <x:tableColumns count="4">
    <x:tableColumn id="1" name="来源类型"/>
    <x:tableColumn id="2" name="文件/路径"/>
    <x:tableColumn id="3" name="使用方式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f5aea2088e4740" /><Relationship Type="http://schemas.openxmlformats.org/officeDocument/2006/relationships/table" Target="/xl/tables/table2.xml" Id="Rf2334b51b9cd42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11d5e29768247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d096c972e364a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6bc7bdf948c4a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6" hidden="0" customWidth="1"/>
    <x:col min="4" max="4" width="44" hidden="0" customWidth="1"/>
    <x:col min="5" max="5" width="4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5.5" customHeight="1">
      <x:c r="A1" s="22" t="str">
        <x:v>HubX OA 系统功能清单 - 总览</x:v>
      </x:c>
      <x:c r="B1" s="22" t="str">
        <x:v>HubX OA 系统功能清单 - 总览</x:v>
      </x:c>
      <x:c r="C1" s="22" t="str">
        <x:v>HubX OA 系统功能清单 - 总览</x:v>
      </x:c>
      <x:c r="D1" s="22" t="str">
        <x:v>HubX OA 系统功能清单 - 总览</x:v>
      </x:c>
      <x:c r="E1" s="22" t="str">
        <x:v>HubX OA 系统功能清单 - 总览</x:v>
      </x:c>
      <x:c r="F1" s="22" t="str">
        <x:v>HubX OA 系统功能清单 - 总览</x:v>
      </x:c>
      <x:c r="G1" s="22" t="str">
        <x:v>HubX OA 系统功能清单 - 总览</x:v>
      </x:c>
      <x:c r="H1" s="22" t="str">
        <x:v>HubX OA 系统功能清单 - 总览</x:v>
      </x:c>
      <x:c r="I1" s="22" t="str">
        <x:v>HubX OA 系统功能清单 - 总览</x:v>
      </x:c>
    </x:row>
    <x:row r="2" ht="21" customHeight="1">
      <x:c r="A2" s="23" t="str">
        <x:v>功能数量由「功能明细」表动态统计；明细表可继续增删行后刷新公式。</x:v>
      </x:c>
      <x:c r="B2" s="23" t="str">
        <x:v>功能数量由「功能明细」表动态统计；明细表可继续增删行后刷新公式。</x:v>
      </x:c>
      <x:c r="C2" s="23" t="str">
        <x:v>功能数量由「功能明细」表动态统计；明细表可继续增删行后刷新公式。</x:v>
      </x:c>
      <x:c r="D2" s="23" t="str">
        <x:v>功能数量由「功能明细」表动态统计；明细表可继续增删行后刷新公式。</x:v>
      </x:c>
      <x:c r="E2" s="23" t="str">
        <x:v>功能数量由「功能明细」表动态统计；明细表可继续增删行后刷新公式。</x:v>
      </x:c>
      <x:c r="F2" s="23" t="str">
        <x:v>功能数量由「功能明细」表动态统计；明细表可继续增删行后刷新公式。</x:v>
      </x:c>
      <x:c r="G2" s="23" t="str">
        <x:v>功能数量由「功能明细」表动态统计；明细表可继续增删行后刷新公式。</x:v>
      </x:c>
      <x:c r="H2" s="23" t="str">
        <x:v>功能数量由「功能明细」表动态统计；明细表可继续增删行后刷新公式。</x:v>
      </x:c>
      <x:c r="I2" s="23" t="str">
        <x:v>功能数量由「功能明细」表动态统计；明细表可继续增删行后刷新公式。</x:v>
      </x:c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</x:row>
    <x:row r="4">
      <x:c r="A4" s="31" t="str">
        <x:v>指标</x:v>
      </x:c>
      <x:c r="B4" s="31" t="str">
        <x:v>数值</x:v>
      </x:c>
      <x:c r="C4" s="31" t="str">
        <x:v>说明</x:v>
      </x:c>
      <x:c r="D4" s="31" t="str">
        <x:v>备注</x:v>
      </x:c>
      <x:c r="E4" s="24"/>
      <x:c r="F4" s="24"/>
      <x:c r="G4" s="24"/>
      <x:c r="H4" s="24"/>
      <x:c r="I4" s="24"/>
    </x:row>
    <x:row r="5">
      <x:c r="A5" s="32" t="str">
        <x:v>一级模块数</x:v>
      </x:c>
      <x:c r="B5" s="33" t="n">
        <x:f>COUNTA(A12:A33)</x:f>
        <x:v>22</x:v>
      </x:c>
      <x:c r="C5" s="32" t="str">
        <x:v>去重统计一级模块</x:v>
      </x:c>
      <x:c r="D5" s="32" t="str"/>
      <x:c r="E5" s="24"/>
      <x:c r="F5" s="24"/>
      <x:c r="G5" s="24"/>
      <x:c r="H5" s="24"/>
      <x:c r="I5" s="24"/>
    </x:row>
    <x:row r="6">
      <x:c r="A6" s="32" t="str">
        <x:v>功能项总数</x:v>
      </x:c>
      <x:c r="B6" s="33" t="n">
        <x:f>COUNTA('功能明细'!$C$5:$C$230)</x:f>
        <x:v>226</x:v>
      </x:c>
      <x:c r="C6" s="32" t="str">
        <x:v>功能明细行数</x:v>
      </x:c>
      <x:c r="D6" s="32" t="str"/>
      <x:c r="E6" s="24"/>
      <x:c r="F6" s="24"/>
      <x:c r="G6" s="24"/>
      <x:c r="H6" s="24"/>
      <x:c r="I6" s="24"/>
    </x:row>
    <x:row r="7">
      <x:c r="A7" s="32" t="str">
        <x:v>导航页面数</x:v>
      </x:c>
      <x:c r="B7" s="33" t="n">
        <x:f>COUNTA('导航映射'!$C$5:$C$58)</x:f>
        <x:v>54</x:v>
      </x:c>
      <x:c r="C7" s="32" t="str">
        <x:v>导航映射行数</x:v>
      </x:c>
      <x:c r="D7" s="32" t="str"/>
      <x:c r="E7" s="24"/>
      <x:c r="F7" s="24"/>
      <x:c r="G7" s="24"/>
      <x:c r="H7" s="24"/>
      <x:c r="I7" s="24"/>
    </x:row>
    <x:row r="8">
      <x:c r="A8" s="32" t="str">
        <x:v>来源文件数</x:v>
      </x:c>
      <x:c r="B8" s="33" t="n">
        <x:f>COUNTA('来源说明'!$B$5:$B$13)</x:f>
        <x:v>9</x:v>
      </x:c>
      <x:c r="C8" s="32" t="str">
        <x:v>来源说明行数</x:v>
      </x:c>
      <x:c r="D8" s="32" t="str"/>
      <x:c r="E8" s="24"/>
      <x:c r="F8" s="24"/>
      <x:c r="G8" s="24"/>
      <x:c r="H8" s="24"/>
      <x:c r="I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</x:row>
    <x:row r="11">
      <x:c r="A11" s="24" t="str">
        <x:v>一级模块</x:v>
      </x:c>
      <x:c r="B11" s="24" t="str">
        <x:v>功能数量</x:v>
      </x:c>
      <x:c r="C11" s="24" t="str">
        <x:v>路由/入口覆盖</x:v>
      </x:c>
      <x:c r="D11" s="24" t="str">
        <x:v>主要来源</x:v>
      </x:c>
      <x:c r="E11" s="24"/>
      <x:c r="F11" s="24" t="str">
        <x:v>当前状态</x:v>
      </x:c>
      <x:c r="G11" s="24" t="str">
        <x:v>功能数量</x:v>
      </x:c>
      <x:c r="H11" s="24"/>
      <x:c r="I11" s="24"/>
    </x:row>
    <x:row r="12">
      <x:c r="A12" s="24" t="str">
        <x:v>工作台</x:v>
      </x:c>
      <x:c r="B12" s="34" t="n">
        <x:f>COUNTIF('功能明细'!$A$5:$A$230,A12)</x:f>
        <x:v>6</x:v>
      </x:c>
      <x:c r="C12" s="24" t="str">
        <x:v>/；顶部栏；/workbench</x:v>
      </x:c>
      <x:c r="D12" s="24" t="str">
        <x:v>src/app/routes.tsx；src/app/reminders/*</x:v>
      </x:c>
      <x:c r="E12" s="24"/>
      <x:c r="F12" s="24" t="str">
        <x:v>已在前端菜单/页面体现</x:v>
      </x:c>
      <x:c r="G12" s="34" t="n">
        <x:f>COUNTIF('功能明细'!$H$5:$H$230,F12)</x:f>
        <x:v>44</x:v>
      </x:c>
      <x:c r="H12" s="24"/>
      <x:c r="I12" s="24"/>
    </x:row>
    <x:row r="13">
      <x:c r="A13" s="24" t="str">
        <x:v>线索管理</x:v>
      </x:c>
      <x:c r="B13" s="34" t="n">
        <x:f>COUNTIF('功能明细'!$A$5:$A$230,A13)</x:f>
        <x:v>23</x:v>
      </x:c>
      <x:c r="C13" s="24" t="str">
        <x:v>/leads/public；/leads/public -&gt; /leads/my；/leads/public; /leads/my；/leads/my</x:v>
      </x:c>
      <x:c r="D13" s="24" t="str">
        <x:v>src/app/pages/PublicLeads.tsx；OA需求文档.md</x:v>
      </x:c>
      <x:c r="E13" s="24"/>
      <x:c r="F13" s="24" t="str">
        <x:v>已在前端页面体现</x:v>
      </x:c>
      <x:c r="G13" s="34" t="n">
        <x:f>COUNTIF('功能明细'!$H$5:$H$230,F13)</x:f>
        <x:v>134</x:v>
      </x:c>
      <x:c r="H13" s="24"/>
      <x:c r="I13" s="24"/>
    </x:row>
    <x:row r="14">
      <x:c r="A14" s="24" t="str">
        <x:v>线索成本</x:v>
      </x:c>
      <x:c r="B14" s="34" t="n">
        <x:f>COUNTIF('功能明细'!$A$5:$A$230,A14)</x:f>
        <x:v>8</x:v>
      </x:c>
      <x:c r="C14" s="24" t="str">
        <x:v>/lead-cost/dashboard；/lead-cost/daily；/lead-cost/recharge；/lead-cost/analysis</x:v>
      </x:c>
      <x:c r="D14" s="24" t="str">
        <x:v>src/app/pages/lead-cost/LeadCostDashboard.tsx；src/app/pages/lead-cost/mockData.ts</x:v>
      </x:c>
      <x:c r="E14" s="24"/>
      <x:c r="F14" s="24" t="str">
        <x:v>规划/页面体现</x:v>
      </x:c>
      <x:c r="G14" s="34" t="n">
        <x:f>COUNTIF('功能明细'!$H$5:$H$230,F14)</x:f>
        <x:v>4</x:v>
      </x:c>
      <x:c r="H14" s="24"/>
      <x:c r="I14" s="24"/>
    </x:row>
    <x:row r="15">
      <x:c r="A15" s="24" t="str">
        <x:v>客户管理</x:v>
      </x:c>
      <x:c r="B15" s="34" t="n">
        <x:f>COUNTIF('功能明细'!$A$5:$A$230,A15)</x:f>
        <x:v>12</x:v>
      </x:c>
      <x:c r="C15" s="24" t="str">
        <x:v>/customers；/customers/:id；客户服务</x:v>
      </x:c>
      <x:c r="D15" s="24" t="str">
        <x:v>src/app/pages/Customers.tsx；src/app/pages/CustomerDetail.tsx</x:v>
      </x:c>
      <x:c r="E15" s="24"/>
      <x:c r="F15" s="24" t="str">
        <x:v>已在提醒系统体现</x:v>
      </x:c>
      <x:c r="G15" s="34" t="n">
        <x:f>COUNTIF('功能明细'!$H$5:$H$230,F15)</x:f>
        <x:v>3</x:v>
      </x:c>
      <x:c r="H15" s="24"/>
      <x:c r="I15" s="24"/>
    </x:row>
    <x:row r="16">
      <x:c r="A16" s="24" t="str">
        <x:v>合同管理</x:v>
      </x:c>
      <x:c r="B16" s="34" t="n">
        <x:f>COUNTIF('功能明细'!$A$5:$A$230,A16)</x:f>
        <x:v>18</x:v>
      </x:c>
      <x:c r="C16" s="24" t="str">
        <x:v>/contracts；/contracts/new；/contracts/:id/edit；/contracts/:id</x:v>
      </x:c>
      <x:c r="D16" s="24" t="str">
        <x:v>src/app/pages/Contracts.tsx；src/app/pages/contracts/ContractWizard.tsx</x:v>
      </x:c>
      <x:c r="E16" s="24"/>
      <x:c r="F16" s="24" t="str">
        <x:v>已在菜单/规划体现</x:v>
      </x:c>
      <x:c r="G16" s="34" t="n">
        <x:f>COUNTIF('功能明细'!$H$5:$H$230,F16)</x:f>
        <x:v>2</x:v>
      </x:c>
      <x:c r="H16" s="24"/>
      <x:c r="I16" s="24"/>
    </x:row>
    <x:row r="17">
      <x:c r="A17" s="24" t="str">
        <x:v>合同回款</x:v>
      </x:c>
      <x:c r="B17" s="34" t="n">
        <x:f>COUNTIF('功能明细'!$A$5:$A$230,A17)</x:f>
        <x:v>11</x:v>
      </x:c>
      <x:c r="C17" s="24" t="str">
        <x:v>/contracts/payments；/contracts/forecast</x:v>
      </x:c>
      <x:c r="D17" s="24" t="str">
        <x:v>docs/superpowers/specs/2026-07-01-contract-payment-kanban-design.md；src/app/pages/contracts/components/PaymentKanbanSummaryBar.tsx</x:v>
      </x:c>
      <x:c r="E17" s="24"/>
      <x:c r="F17" s="24" t="str">
        <x:v>需求文档提及</x:v>
      </x:c>
      <x:c r="G17" s="34" t="n">
        <x:f>COUNTIF('功能明细'!$H$5:$H$230,F17)</x:f>
        <x:v>4</x:v>
      </x:c>
      <x:c r="H17" s="24"/>
      <x:c r="I17" s="24"/>
    </x:row>
    <x:row r="18">
      <x:c r="A18" s="24" t="str">
        <x:v>项目管理</x:v>
      </x:c>
      <x:c r="B18" s="34" t="n">
        <x:f>COUNTIF('功能明细'!$A$5:$A$230,A18)</x:f>
        <x:v>18</x:v>
      </x:c>
      <x:c r="C18" s="24" t="str">
        <x:v>/projects；/projects/:id；/projects/:id/delivery；/dailyreport/projectlog</x:v>
      </x:c>
      <x:c r="D18" s="24" t="str">
        <x:v>src/app/pages/Projects.tsx；docs/superpowers/specs/2026-05-09-project-management-foundation-design.md</x:v>
      </x:c>
      <x:c r="E18" s="24"/>
      <x:c r="F18" s="24" t="str">
        <x:v>已在前端代码体现</x:v>
      </x:c>
      <x:c r="G18" s="34" t="n">
        <x:f>COUNTIF('功能明细'!$H$5:$H$230,F18)</x:f>
        <x:v>7</x:v>
      </x:c>
      <x:c r="H18" s="24"/>
      <x:c r="I18" s="24"/>
    </x:row>
    <x:row r="19">
      <x:c r="A19" s="24" t="str">
        <x:v>交付计划</x:v>
      </x:c>
      <x:c r="B19" s="34" t="n">
        <x:f>COUNTIF('功能明细'!$A$5:$A$230,A19)</x:f>
        <x:v>10</x:v>
      </x:c>
      <x:c r="C19" s="24" t="str">
        <x:v>/projects/:id/delivery</x:v>
      </x:c>
      <x:c r="D19" s="24" t="str">
        <x:v>docs/adr/0002-两级板块步骤模型而非扁平模型.md；docs/adr/0001-自绘甘特图而非第三方库.md</x:v>
      </x:c>
      <x:c r="E19" s="24"/>
      <x:c r="F19" s="24" t="str">
        <x:v>已在 Context 操作体现</x:v>
      </x:c>
      <x:c r="G19" s="34" t="n">
        <x:f>COUNTIF('功能明细'!$H$5:$H$230,F19)</x:f>
        <x:v>1</x:v>
      </x:c>
      <x:c r="H19" s="24"/>
      <x:c r="I19" s="24"/>
    </x:row>
    <x:row r="20">
      <x:c r="A20" s="24" t="str">
        <x:v>日报</x:v>
      </x:c>
      <x:c r="B20" s="34" t="n">
        <x:f>COUNTIF('功能明细'!$A$5:$A$230,A20)</x:f>
        <x:v>13</x:v>
      </x:c>
      <x:c r="C20" s="24" t="str">
        <x:v>/dailyreport/list；/dailyreport/view；/dailyreport/projectlog；顶部栏</x:v>
      </x:c>
      <x:c r="D20" s="24" t="str">
        <x:v>src/app/pages/DailyReportList.tsx；src/app/pages/DailyReportView.tsx</x:v>
      </x:c>
      <x:c r="E20" s="24"/>
      <x:c r="F20" s="24" t="str">
        <x:v>已在规划/页面体现</x:v>
      </x:c>
      <x:c r="G20" s="34" t="n">
        <x:f>COUNTIF('功能明细'!$H$5:$H$230,F20)</x:f>
        <x:v>1</x:v>
      </x:c>
      <x:c r="H20" s="24"/>
      <x:c r="I20" s="24"/>
    </x:row>
    <x:row r="21">
      <x:c r="A21" s="24" t="str">
        <x:v>财务管理</x:v>
      </x:c>
      <x:c r="B21" s="34" t="n">
        <x:f>COUNTIF('功能明细'!$A$5:$A$230,A21)</x:f>
        <x:v>19</x:v>
      </x:c>
      <x:c r="C21" s="24" t="str">
        <x:v>/finance/dashboard；/finance/salary；/finance/project-cost；/finance/contract-cost/:contractId</x:v>
      </x:c>
      <x:c r="D21" s="24" t="str">
        <x:v>src/app/pages/FinancialDashboard.tsx；src/app/pages/contract-cost/SalaryPage.tsx</x:v>
      </x:c>
      <x:c r="E21" s="24"/>
      <x:c r="F21" s="24" t="str">
        <x:v>占位/规划体现</x:v>
      </x:c>
      <x:c r="G21" s="34" t="n">
        <x:f>COUNTIF('功能明细'!$H$5:$H$230,F21)</x:f>
        <x:v>1</x:v>
      </x:c>
      <x:c r="H21" s="24"/>
      <x:c r="I21" s="24"/>
    </x:row>
    <x:row r="22">
      <x:c r="A22" s="24" t="str">
        <x:v>员工管理</x:v>
      </x:c>
      <x:c r="B22" s="34" t="n">
        <x:f>COUNTIF('功能明细'!$A$5:$A$230,A22)</x:f>
        <x:v>14</x:v>
      </x:c>
      <x:c r="C22" s="24" t="str">
        <x:v>/employees；/employees/:id；/employees/attendance；/employees/performance</x:v>
      </x:c>
      <x:c r="D22" s="24" t="str">
        <x:v>src/app/pages/employee/EmployeeList.tsx；src/app/pages/employee/EmployeeDetail.tsx</x:v>
      </x:c>
      <x:c r="E22" s="24"/>
      <x:c r="F22" s="24" t="str">
        <x:v>已在日报菜单体现</x:v>
      </x:c>
      <x:c r="G22" s="34" t="n">
        <x:f>COUNTIF('功能明细'!$H$5:$H$230,F22)</x:f>
        <x:v>1</x:v>
      </x:c>
      <x:c r="H22" s="24"/>
      <x:c r="I22" s="24"/>
    </x:row>
    <x:row r="23">
      <x:c r="A23" s="24" t="str">
        <x:v>员工能力建模</x:v>
      </x:c>
      <x:c r="B23" s="34" t="n">
        <x:f>COUNTIF('功能明细'!$A$5:$A$230,A23)</x:f>
        <x:v>12</x:v>
      </x:c>
      <x:c r="C23" s="24" t="str">
        <x:v>/employees/:id；日报 -&gt; 员工能力；项目 -&gt; 员工能力；项目 -&gt; 员工详情</x:v>
      </x:c>
      <x:c r="D23" s="24" t="str">
        <x:v>src/app/pages/employee/EmployeeDetail.tsx；docs/superpowers/specs/2026-06-30-employee-capability-modeling-design.md</x:v>
      </x:c>
      <x:c r="E23" s="24"/>
      <x:c r="F23" s="24" t="str">
        <x:v>已在前端/设计体现</x:v>
      </x:c>
      <x:c r="G23" s="34" t="n">
        <x:f>COUNTIF('功能明细'!$H$5:$H$230,F23)</x:f>
        <x:v>7</x:v>
      </x:c>
      <x:c r="H23" s="24"/>
      <x:c r="I23" s="24"/>
    </x:row>
    <x:row r="24">
      <x:c r="A24" s="24" t="str">
        <x:v>系统管理</x:v>
      </x:c>
      <x:c r="B24" s="34" t="n">
        <x:f>COUNTIF('功能明细'!$A$5:$A$230,A24)</x:f>
        <x:v>16</x:v>
      </x:c>
      <x:c r="C24" s="24" t="str">
        <x:v>/system/organization；/system/permission；/system/company；/system/dictionary</x:v>
      </x:c>
      <x:c r="D24" s="24" t="str">
        <x:v>src/app/pages/Organization.tsx；src/app/pages/UserPermission.tsx</x:v>
      </x:c>
      <x:c r="E24" s="24"/>
      <x:c r="F24" s="24" t="str">
        <x:v>已在前端/文档体现</x:v>
      </x:c>
      <x:c r="G24" s="34" t="n">
        <x:f>COUNTIF('功能明细'!$H$5:$H$230,F24)</x:f>
        <x:v>1</x:v>
      </x:c>
      <x:c r="H24" s="24"/>
      <x:c r="I24" s="24"/>
    </x:row>
    <x:row r="25">
      <x:c r="A25" s="24" t="str">
        <x:v>审批配置</x:v>
      </x:c>
      <x:c r="B25" s="34" t="n">
        <x:f>COUNTIF('功能明细'!$A$5:$A$230,A25)</x:f>
        <x:v>5</x:v>
      </x:c>
      <x:c r="C25" s="24" t="str">
        <x:v>/system/workflow；/system/bizapproval；提醒系统</x:v>
      </x:c>
      <x:c r="D25" s="24" t="str">
        <x:v>src/app/pages/WorkflowTemplateList.tsx；src/app/pages/BusinessMappingList.tsx</x:v>
      </x:c>
      <x:c r="E25" s="24"/>
      <x:c r="F25" s="24" t="str">
        <x:v>设计文档提及</x:v>
      </x:c>
      <x:c r="G25" s="34" t="n">
        <x:f>COUNTIF('功能明细'!$H$5:$H$230,F25)</x:f>
        <x:v>1</x:v>
      </x:c>
      <x:c r="H25" s="24"/>
      <x:c r="I25" s="24"/>
    </x:row>
    <x:row r="26">
      <x:c r="A26" s="24" t="str">
        <x:v>资产管理</x:v>
      </x:c>
      <x:c r="B26" s="34" t="n">
        <x:f>COUNTIF('功能明细'!$A$5:$A$230,A26)</x:f>
        <x:v>6</x:v>
      </x:c>
      <x:c r="C26" s="24" t="str">
        <x:v>/assets</x:v>
      </x:c>
      <x:c r="D26" s="24" t="str">
        <x:v>src/app/pages/assets/AssetManagement.tsx</x:v>
      </x:c>
      <x:c r="E26" s="24"/>
      <x:c r="F26" s="24" t="str">
        <x:v>规划提及</x:v>
      </x:c>
      <x:c r="G26" s="34" t="n">
        <x:f>COUNTIF('功能明细'!$H$5:$H$230,F26)</x:f>
        <x:v>8</x:v>
      </x:c>
      <x:c r="H26" s="24"/>
      <x:c r="I26" s="24"/>
    </x:row>
    <x:row r="27">
      <x:c r="A27" s="24" t="str">
        <x:v>售后运维</x:v>
      </x:c>
      <x:c r="B27" s="34" t="n">
        <x:f>COUNTIF('功能明细'!$A$5:$A$230,A27)</x:f>
        <x:v>5</x:v>
      </x:c>
      <x:c r="C27" s="24" t="str">
        <x:v>/maintenance</x:v>
      </x:c>
      <x:c r="D27" s="24" t="str">
        <x:v>src/app/pages/maintenance/MaintenanceManagement.tsx</x:v>
      </x:c>
      <x:c r="E27" s="24"/>
      <x:c r="F27" s="24" t="str">
        <x:v>已在前端/需求体现</x:v>
      </x:c>
      <x:c r="G27" s="34" t="n">
        <x:f>COUNTIF('功能明细'!$H$5:$H$230,F27)</x:f>
        <x:v>5</x:v>
      </x:c>
      <x:c r="H27" s="24"/>
      <x:c r="I27" s="24"/>
    </x:row>
    <x:row r="28">
      <x:c r="A28" s="24" t="str">
        <x:v>供应商管理</x:v>
      </x:c>
      <x:c r="B28" s="34" t="n">
        <x:f>COUNTIF('功能明细'!$A$5:$A$230,A28)</x:f>
        <x:v>5</x:v>
      </x:c>
      <x:c r="C28" s="24" t="str">
        <x:v>/suppliers</x:v>
      </x:c>
      <x:c r="D28" s="24" t="str">
        <x:v>src/app/pages/suppliers/SupplierManagement.tsx</x:v>
      </x:c>
      <x:c r="E28" s="24"/>
      <x:c r="F28" s="24" t="str">
        <x:v>已在路由页面体现</x:v>
      </x:c>
      <x:c r="G28" s="34" t="n">
        <x:f>COUNTIF('功能明细'!$H$5:$H$230,F28)</x:f>
        <x:v>1</x:v>
      </x:c>
      <x:c r="H28" s="24"/>
      <x:c r="I28" s="24"/>
    </x:row>
    <x:row r="29">
      <x:c r="A29" s="24" t="str">
        <x:v>知识库</x:v>
      </x:c>
      <x:c r="B29" s="34" t="n">
        <x:f>COUNTIF('功能明细'!$A$5:$A$230,A29)</x:f>
        <x:v>6</x:v>
      </x:c>
      <x:c r="C29" s="24" t="str">
        <x:v>/knowledge</x:v>
      </x:c>
      <x:c r="D29" s="24" t="str">
        <x:v>src/app/pages/knowledge/KnowledgeBase.tsx；docs/superpowers/specs/2026-06-30-hubx-development-plan.md</x:v>
      </x:c>
      <x:c r="E29" s="24"/>
      <x:c r="F29" s="24" t="str">
        <x:v>已在前端/规划体现</x:v>
      </x:c>
      <x:c r="G29" s="34" t="n">
        <x:f>COUNTIF('功能明细'!$H$5:$H$230,F29)</x:f>
        <x:v>1</x:v>
      </x:c>
      <x:c r="H29" s="24"/>
      <x:c r="I29" s="24"/>
    </x:row>
    <x:row r="30">
      <x:c r="A30" s="24" t="str">
        <x:v>会议管理</x:v>
      </x:c>
      <x:c r="B30" s="34" t="n">
        <x:f>COUNTIF('功能明细'!$A$5:$A$230,A30)</x:f>
        <x:v>5</x:v>
      </x:c>
      <x:c r="C30" s="24" t="str">
        <x:v>/meetings</x:v>
      </x:c>
      <x:c r="D30" s="24" t="str">
        <x:v>src/app/pages/meetings/MeetingManagement.tsx</x:v>
      </x:c>
      <x:c r="E30" s="24"/>
      <x:c r="F30" s="24"/>
      <x:c r="G30" s="24"/>
      <x:c r="H30" s="24"/>
      <x:c r="I30" s="24"/>
    </x:row>
    <x:row r="31">
      <x:c r="A31" s="24" t="str">
        <x:v>全链路 ROI</x:v>
      </x:c>
      <x:c r="B31" s="34" t="n">
        <x:f>COUNTIF('功能明细'!$A$5:$A$230,A31)</x:f>
        <x:v>5</x:v>
      </x:c>
      <x:c r="C31" s="24" t="str">
        <x:v>/roi</x:v>
      </x:c>
      <x:c r="D31" s="24" t="str">
        <x:v>src/app/pages/roi/FullChainROI.tsx</x:v>
      </x:c>
      <x:c r="E31" s="24"/>
      <x:c r="F31" s="24"/>
      <x:c r="G31" s="24"/>
      <x:c r="H31" s="24"/>
      <x:c r="I31" s="24"/>
    </x:row>
    <x:row r="32">
      <x:c r="A32" s="24" t="str">
        <x:v>AI 智能助手</x:v>
      </x:c>
      <x:c r="B32" s="34" t="n">
        <x:f>COUNTIF('功能明细'!$A$5:$A$230,A32)</x:f>
        <x:v>5</x:v>
      </x:c>
      <x:c r="C32" s="24" t="str">
        <x:v>/ai</x:v>
      </x:c>
      <x:c r="D32" s="24" t="str">
        <x:v>src/app/pages/ai/AIDriven.tsx</x:v>
      </x:c>
      <x:c r="E32" s="24"/>
      <x:c r="F32" s="24"/>
      <x:c r="G32" s="24"/>
      <x:c r="H32" s="24"/>
      <x:c r="I32" s="24"/>
    </x:row>
    <x:row r="33">
      <x:c r="A33" s="24" t="str">
        <x:v>数据报表</x:v>
      </x:c>
      <x:c r="B33" s="34" t="n">
        <x:f>COUNTIF('功能明细'!$A$5:$A$230,A33)</x:f>
        <x:v>4</x:v>
      </x:c>
      <x:c r="C33" s="24" t="str">
        <x:v>/reports；/reports; /roi；/reports; /finance/project-cost; /roi</x:v>
      </x:c>
      <x:c r="D33" s="24" t="str">
        <x:v>src/app/pages/Reports.tsx；src/imports/销售管理系统功能规划.md</x:v>
      </x:c>
      <x:c r="E33" s="24"/>
      <x:c r="F33" s="24"/>
      <x:c r="G33" s="24"/>
      <x:c r="H33" s="24"/>
      <x:c r="I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</x:row>
  </x:sheetData>
  <x:mergeCells>
    <x:mergeCell ref="A1:I1"/>
    <x:mergeCell ref="A2:I2"/>
  </x:mergeCells>
  <x:pageMargins left="0.7" right="0.7" top="0.75" bottom="0.75" header="0.3" footer="0.3"/>
  <x:tableParts count="2">
    <x:tablePart xmlns:r="http://schemas.openxmlformats.org/officeDocument/2006/relationships" r:id="R9cf5aea2088e4740"/>
    <x:tablePart xmlns:r="http://schemas.openxmlformats.org/officeDocument/2006/relationships" r:id="Rf2334b51b9cd42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44" hidden="0" customWidth="1"/>
    <x:col min="5" max="5" width="42" hidden="0" customWidth="1"/>
    <x:col min="6" max="6" width="30" hidden="0" customWidth="1"/>
    <x:col min="7" max="7" width="22" hidden="0" customWidth="1"/>
    <x:col min="8" max="8" width="18" hidden="0" customWidth="1"/>
    <x:col min="9" max="9" width="38" hidden="0" customWidth="1"/>
  </x:cols>
  <x:sheetData>
    <x:row r="1" ht="25.5" customHeight="1">
      <x:c r="A1" s="22" t="str">
        <x:v>HubX OA 系统功能清单 - 明细</x:v>
      </x:c>
      <x:c r="B1" s="22" t="str">
        <x:v>HubX OA 系统功能清单 - 明细</x:v>
      </x:c>
      <x:c r="C1" s="22" t="str">
        <x:v>HubX OA 系统功能清单 - 明细</x:v>
      </x:c>
      <x:c r="D1" s="22" t="str">
        <x:v>HubX OA 系统功能清单 - 明细</x:v>
      </x:c>
      <x:c r="E1" s="22" t="str">
        <x:v>HubX OA 系统功能清单 - 明细</x:v>
      </x:c>
      <x:c r="F1" s="22" t="str">
        <x:v>HubX OA 系统功能清单 - 明细</x:v>
      </x:c>
      <x:c r="G1" s="22" t="str">
        <x:v>HubX OA 系统功能清单 - 明细</x:v>
      </x:c>
      <x:c r="H1" s="22" t="str">
        <x:v>HubX OA 系统功能清单 - 明细</x:v>
      </x:c>
      <x:c r="I1" s="22" t="str">
        <x:v>HubX OA 系统功能清单 - 明细</x:v>
      </x:c>
    </x:row>
    <x:row r="2" ht="21" customHeight="1">
      <x:c r="A2" s="23" t="str">
        <x:v>依据项目内需求文档、菜单、路由与前端原型整理；当前状态表示在项目中出现的位置，不等同于真实后端完成度。</x:v>
      </x:c>
      <x:c r="B2" s="23" t="str">
        <x:v>依据项目内需求文档、菜单、路由与前端原型整理；当前状态表示在项目中出现的位置，不等同于真实后端完成度。</x:v>
      </x:c>
      <x:c r="C2" s="23" t="str">
        <x:v>依据项目内需求文档、菜单、路由与前端原型整理；当前状态表示在项目中出现的位置，不等同于真实后端完成度。</x:v>
      </x:c>
      <x:c r="D2" s="23" t="str">
        <x:v>依据项目内需求文档、菜单、路由与前端原型整理；当前状态表示在项目中出现的位置，不等同于真实后端完成度。</x:v>
      </x:c>
      <x:c r="E2" s="23" t="str">
        <x:v>依据项目内需求文档、菜单、路由与前端原型整理；当前状态表示在项目中出现的位置，不等同于真实后端完成度。</x:v>
      </x:c>
      <x:c r="F2" s="23" t="str">
        <x:v>依据项目内需求文档、菜单、路由与前端原型整理；当前状态表示在项目中出现的位置，不等同于真实后端完成度。</x:v>
      </x:c>
      <x:c r="G2" s="23" t="str">
        <x:v>依据项目内需求文档、菜单、路由与前端原型整理；当前状态表示在项目中出现的位置，不等同于真实后端完成度。</x:v>
      </x:c>
      <x:c r="H2" s="23" t="str">
        <x:v>依据项目内需求文档、菜单、路由与前端原型整理；当前状态表示在项目中出现的位置，不等同于真实后端完成度。</x:v>
      </x:c>
      <x:c r="I2" s="23" t="str">
        <x:v>依据项目内需求文档、菜单、路由与前端原型整理；当前状态表示在项目中出现的位置，不等同于真实后端完成度。</x:v>
      </x:c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</x:row>
    <x:row r="4">
      <x:c r="A4" s="18" t="str">
        <x:v>一级模块</x:v>
      </x:c>
      <x:c r="B4" s="18" t="str">
        <x:v>二级模块/页面</x:v>
      </x:c>
      <x:c r="C4" s="18" t="str">
        <x:v>功能项</x:v>
      </x:c>
      <x:c r="D4" s="18" t="str">
        <x:v>功能说明</x:v>
      </x:c>
      <x:c r="E4" s="18" t="str">
        <x:v>主要操作/业务规则</x:v>
      </x:c>
      <x:c r="F4" s="18" t="str">
        <x:v>关联数据/字段</x:v>
      </x:c>
      <x:c r="G4" s="18" t="str">
        <x:v>路由/菜单</x:v>
      </x:c>
      <x:c r="H4" s="18" t="str">
        <x:v>当前状态</x:v>
      </x:c>
      <x:c r="I4" s="18" t="str">
        <x:v>来源</x:v>
      </x:c>
    </x:row>
    <x:row r="5">
      <x:c r="A5" s="19" t="str">
        <x:v>工作台</x:v>
      </x:c>
      <x:c r="B5" s="19" t="str">
        <x:v>首页仪表盘</x:v>
      </x:c>
      <x:c r="C5" s="19" t="str">
        <x:v>经营概览</x:v>
      </x:c>
      <x:c r="D5" s="19" t="str">
        <x:v>展示系统核心经营指标与待办入口，作为登录后的默认页面。</x:v>
      </x:c>
      <x:c r="E5" s="19" t="str">
        <x:v>进入系统默认展示；承接提醒、日报、快捷入口。</x:v>
      </x:c>
      <x:c r="F5" s="19" t="str">
        <x:v>提醒数、日报状态、业务统计</x:v>
      </x:c>
      <x:c r="G5" s="19" t="str">
        <x:v>/</x:v>
      </x:c>
      <x:c r="H5" s="19" t="str">
        <x:v>已在前端菜单/页面体现</x:v>
      </x:c>
      <x:c r="I5" s="19" t="str">
        <x:v>src/app/routes.tsx; src/app/pages/Dashboard.tsx</x:v>
      </x:c>
    </x:row>
    <x:row r="6">
      <x:c r="A6" s="19" t="str">
        <x:v>工作台</x:v>
      </x:c>
      <x:c r="B6" s="19" t="str">
        <x:v>首页仪表盘</x:v>
      </x:c>
      <x:c r="C6" s="19" t="str">
        <x:v>统一提醒待办</x:v>
      </x:c>
      <x:c r="D6" s="19" t="str">
        <x:v>汇总审批、日报、线索、合同等待处理事项。</x:v>
      </x:c>
      <x:c r="E6" s="19" t="str">
        <x:v>由 ReminderProvider 派生；业务动作完成后提醒自动消失。</x:v>
      </x:c>
      <x:c r="F6" s="19" t="str">
        <x:v>ReminderItem、sourceId、actionTarget</x:v>
      </x:c>
      <x:c r="G6" s="19" t="str">
        <x:v>/</x:v>
      </x:c>
      <x:c r="H6" s="19" t="str">
        <x:v>已在前端页面体现</x:v>
      </x:c>
      <x:c r="I6" s="19" t="str">
        <x:v>src/app/reminders/*</x:v>
      </x:c>
    </x:row>
    <x:row r="7">
      <x:c r="A7" s="19" t="str">
        <x:v>工作台</x:v>
      </x:c>
      <x:c r="B7" s="19" t="str">
        <x:v>顶部栏</x:v>
      </x:c>
      <x:c r="C7" s="19" t="str">
        <x:v>日报填写入口</x:v>
      </x:c>
      <x:c r="D7" s="19" t="str">
        <x:v>顶部提供日报填写入口，先选择角色再打开对应日报模板。</x:v>
      </x:c>
      <x:c r="E7" s="19" t="str">
        <x:v>默认开发角色；可切换销售、通用、投放、开发模板。</x:v>
      </x:c>
      <x:c r="F7" s="19" t="str">
        <x:v>DailyReport、role、templateId</x:v>
      </x:c>
      <x:c r="G7" s="19" t="str">
        <x:v>顶部栏</x:v>
      </x:c>
      <x:c r="H7" s="19" t="str">
        <x:v>已在前端页面体现</x:v>
      </x:c>
      <x:c r="I7" s="19" t="str">
        <x:v>src/app/components/MainLayout.tsx</x:v>
      </x:c>
    </x:row>
    <x:row r="8">
      <x:c r="A8" s="19" t="str">
        <x:v>工作台</x:v>
      </x:c>
      <x:c r="B8" s="19" t="str">
        <x:v>顶部栏</x:v>
      </x:c>
      <x:c r="C8" s="19" t="str">
        <x:v>提醒铃铛</x:v>
      </x:c>
      <x:c r="D8" s="19" t="str">
        <x:v>顶部铃铛显示未处理提醒数量与提醒摘要。</x:v>
      </x:c>
      <x:c r="E8" s="19" t="str">
        <x:v>支持稍后处理；点击可跳转对应业务场景。</x:v>
      </x:c>
      <x:c r="F8" s="19" t="str">
        <x:v>reminders、pendingCount、snoozedUntil</x:v>
      </x:c>
      <x:c r="G8" s="19" t="str">
        <x:v>顶部栏</x:v>
      </x:c>
      <x:c r="H8" s="19" t="str">
        <x:v>已在前端页面体现</x:v>
      </x:c>
      <x:c r="I8" s="19" t="str">
        <x:v>src/app/reminders/components/ReminderBell.tsx</x:v>
      </x:c>
    </x:row>
    <x:row r="9">
      <x:c r="A9" s="19" t="str">
        <x:v>工作台</x:v>
      </x:c>
      <x:c r="B9" s="19" t="str">
        <x:v>个人工作台</x:v>
      </x:c>
      <x:c r="C9" s="19" t="str">
        <x:v>个人仪表盘</x:v>
      </x:c>
      <x:c r="D9" s="19" t="str">
        <x:v>面向员工个人展示今日待办、我的项目、我的日报和能力概览。</x:v>
      </x:c>
      <x:c r="E9" s="19" t="str">
        <x:v>作为员工能力建模与日报任务的个人入口。</x:v>
      </x:c>
      <x:c r="F9" s="19" t="str">
        <x:v>员工、项目、日报、能力值</x:v>
      </x:c>
      <x:c r="G9" s="19" t="str">
        <x:v>/workbench</x:v>
      </x:c>
      <x:c r="H9" s="19" t="str">
        <x:v>已在前端菜单/页面体现</x:v>
      </x:c>
      <x:c r="I9" s="19" t="str">
        <x:v>src/app/pages/workbench/PersonalWorkbench.tsx</x:v>
      </x:c>
    </x:row>
    <x:row r="10">
      <x:c r="A10" s="19" t="str">
        <x:v>工作台</x:v>
      </x:c>
      <x:c r="B10" s="19" t="str">
        <x:v>个人工作台</x:v>
      </x:c>
      <x:c r="C10" s="19" t="str">
        <x:v>快捷业务入口</x:v>
      </x:c>
      <x:c r="D10" s="19" t="str">
        <x:v>提供填写日报、新建线索、查看合同等高频动作入口。</x:v>
      </x:c>
      <x:c r="E10" s="19" t="str">
        <x:v>减少从左侧菜单多级跳转的操作成本。</x:v>
      </x:c>
      <x:c r="F10" s="19" t="str">
        <x:v>菜单路由、当前用户</x:v>
      </x:c>
      <x:c r="G10" s="19" t="str">
        <x:v>/workbench</x:v>
      </x:c>
      <x:c r="H10" s="19" t="str">
        <x:v>规划/页面体现</x:v>
      </x:c>
      <x:c r="I10" s="19" t="str">
        <x:v>CONTEXT.md; src/app/pages/workbench/PersonalWorkbench.tsx</x:v>
      </x:c>
    </x:row>
    <x:row r="11">
      <x:c r="A11" s="19" t="str">
        <x:v>线索管理</x:v>
      </x:c>
      <x:c r="B11" s="19" t="str">
        <x:v>公海线索</x:v>
      </x:c>
      <x:c r="C11" s="19" t="str">
        <x:v>公海线索列表</x:v>
      </x:c>
      <x:c r="D11" s="19" t="str">
        <x:v>展示未被销售认领的线索池，支持全员查看与筛选。</x:v>
      </x:c>
      <x:c r="E11" s="19" t="str">
        <x:v>销售可认领、查看详情、标记垃圾。</x:v>
      </x:c>
      <x:c r="F11" s="19" t="str">
        <x:v>线索名称、来源、联系人、意向等级、标签</x:v>
      </x:c>
      <x:c r="G11" s="19" t="str">
        <x:v>/leads/public</x:v>
      </x:c>
      <x:c r="H11" s="19" t="str">
        <x:v>已在前端菜单/页面体现</x:v>
      </x:c>
      <x:c r="I11" s="19" t="str">
        <x:v>src/app/pages/PublicLeads.tsx</x:v>
      </x:c>
    </x:row>
    <x:row r="12">
      <x:c r="A12" s="19" t="str">
        <x:v>线索管理</x:v>
      </x:c>
      <x:c r="B12" s="19" t="str">
        <x:v>公海线索</x:v>
      </x:c>
      <x:c r="C12" s="19" t="str">
        <x:v>新建公海线索</x:v>
      </x:c>
      <x:c r="D12" s="19" t="str">
        <x:v>录入新的售前线索，补充来源渠道、需求、联系人等信息。</x:v>
      </x:c>
      <x:c r="E12" s="19" t="str">
        <x:v>创建后进入公海池；支持标签选择和自定义标签。</x:v>
      </x:c>
      <x:c r="F12" s="19" t="str">
        <x:v>线索基础信息、联系人、需求、标签</x:v>
      </x:c>
      <x:c r="G12" s="19" t="str">
        <x:v>/leads/public</x:v>
      </x:c>
      <x:c r="H12" s="19" t="str">
        <x:v>已在前端页面体现</x:v>
      </x:c>
      <x:c r="I12" s="19" t="str">
        <x:v>src/app/pages/PublicLeads.tsx</x:v>
      </x:c>
    </x:row>
    <x:row r="13">
      <x:c r="A13" s="19" t="str">
        <x:v>线索管理</x:v>
      </x:c>
      <x:c r="B13" s="19" t="str">
        <x:v>公海线索</x:v>
      </x:c>
      <x:c r="C13" s="19" t="str">
        <x:v>认领线索</x:v>
      </x:c>
      <x:c r="D13" s="19" t="str">
        <x:v>销售将公海线索认领为自己的私有线索。</x:v>
      </x:c>
      <x:c r="E13" s="19" t="str">
        <x:v>认领后线索移出公海并进入我的线索。</x:v>
      </x:c>
      <x:c r="F13" s="19" t="str">
        <x:v>owner、claimTime、leadStatus</x:v>
      </x:c>
      <x:c r="G13" s="19" t="str">
        <x:v>/leads/public -&gt; /leads/my</x:v>
      </x:c>
      <x:c r="H13" s="19" t="str">
        <x:v>已在前端页面体现</x:v>
      </x:c>
      <x:c r="I13" s="19" t="str">
        <x:v>OA需求文档.md; src/app/pages/PublicLeads.tsx</x:v>
      </x:c>
    </x:row>
    <x:row r="14">
      <x:c r="A14" s="19" t="str">
        <x:v>线索管理</x:v>
      </x:c>
      <x:c r="B14" s="19" t="str">
        <x:v>公海线索</x:v>
      </x:c>
      <x:c r="C14" s="19" t="str">
        <x:v>标记垃圾线索</x:v>
      </x:c>
      <x:c r="D14" s="19" t="str">
        <x:v>将无效线索放入垃圾线索池，避免干扰有效跟进。</x:v>
      </x:c>
      <x:c r="E14" s="19" t="str">
        <x:v>需要填写丢弃原因；垃圾线索可后续查看。</x:v>
      </x:c>
      <x:c r="F14" s="19" t="str">
        <x:v>trashReason、trashTime、operator</x:v>
      </x:c>
      <x:c r="G14" s="19" t="str">
        <x:v>/leads/public; /leads/my</x:v>
      </x:c>
      <x:c r="H14" s="19" t="str">
        <x:v>已在前端页面体现</x:v>
      </x:c>
      <x:c r="I14" s="19" t="str">
        <x:v>src/app/pages/PublicLeads.tsx; src/app/pages/MyLeads.tsx</x:v>
      </x:c>
    </x:row>
    <x:row r="15">
      <x:c r="A15" s="19" t="str">
        <x:v>线索管理</x:v>
      </x:c>
      <x:c r="B15" s="19" t="str">
        <x:v>我的线索</x:v>
      </x:c>
      <x:c r="C15" s="19" t="str">
        <x:v>我的线索列表</x:v>
      </x:c>
      <x:c r="D15" s="19" t="str">
        <x:v>展示当前销售负责跟进的线索。</x:v>
      </x:c>
      <x:c r="E15" s="19" t="str">
        <x:v>支持搜索、查看、编辑、转让、放弃、标记垃圾。</x:v>
      </x:c>
      <x:c r="F15" s="19" t="str">
        <x:v>归属人、跟进状态、意向、下次跟进</x:v>
      </x:c>
      <x:c r="G15" s="19" t="str">
        <x:v>/leads/my</x:v>
      </x:c>
      <x:c r="H15" s="19" t="str">
        <x:v>已在前端菜单/页面体现</x:v>
      </x:c>
      <x:c r="I15" s="19" t="str">
        <x:v>src/app/pages/MyLeads.tsx</x:v>
      </x:c>
    </x:row>
    <x:row r="16">
      <x:c r="A16" s="19" t="str">
        <x:v>线索管理</x:v>
      </x:c>
      <x:c r="B16" s="19" t="str">
        <x:v>我的线索</x:v>
      </x:c>
      <x:c r="C16" s="19" t="str">
        <x:v>转让线索</x:v>
      </x:c>
      <x:c r="D16" s="19" t="str">
        <x:v>将线索责任人转移给其他销售。</x:v>
      </x:c>
      <x:c r="E16" s="19" t="str">
        <x:v>转让后编辑和跟进责任同步转移。</x:v>
      </x:c>
      <x:c r="F16" s="19" t="str">
        <x:v>fromOwner、toOwner、transferReason</x:v>
      </x:c>
      <x:c r="G16" s="19" t="str">
        <x:v>/leads/my</x:v>
      </x:c>
      <x:c r="H16" s="19" t="str">
        <x:v>已在前端页面体现</x:v>
      </x:c>
      <x:c r="I16" s="19" t="str">
        <x:v>src/app/pages/MyLeads.tsx; OA需求文档.md</x:v>
      </x:c>
    </x:row>
    <x:row r="17">
      <x:c r="A17" s="19" t="str">
        <x:v>线索管理</x:v>
      </x:c>
      <x:c r="B17" s="19" t="str">
        <x:v>我的线索</x:v>
      </x:c>
      <x:c r="C17" s="19" t="str">
        <x:v>放弃/回公海</x:v>
      </x:c>
      <x:c r="D17" s="19" t="str">
        <x:v>销售主动放弃线索，使线索重新进入公海池。</x:v>
      </x:c>
      <x:c r="E17" s="19" t="str">
        <x:v>回公海后当前销售不再拥有私有跟进责任。</x:v>
      </x:c>
      <x:c r="F17" s="19" t="str">
        <x:v>leadStatus、owner、returnReason</x:v>
      </x:c>
      <x:c r="G17" s="19" t="str">
        <x:v>/leads/my</x:v>
      </x:c>
      <x:c r="H17" s="19" t="str">
        <x:v>已在前端页面体现</x:v>
      </x:c>
      <x:c r="I17" s="19" t="str">
        <x:v>src/app/pages/MyLeads.tsx</x:v>
      </x:c>
    </x:row>
    <x:row r="18">
      <x:c r="A18" s="19" t="str">
        <x:v>线索管理</x:v>
      </x:c>
      <x:c r="B18" s="19" t="str">
        <x:v>垃圾线索</x:v>
      </x:c>
      <x:c r="C18" s="19" t="str">
        <x:v>垃圾线索列表</x:v>
      </x:c>
      <x:c r="D18" s="19" t="str">
        <x:v>集中查看已标记为无效的线索。</x:v>
      </x:c>
      <x:c r="E18" s="19" t="str">
        <x:v>支持查看详情、恢复到公海、彻底删除等原型操作。</x:v>
      </x:c>
      <x:c r="F18" s="19" t="str">
        <x:v>垃圾原因、操作人、处理时间</x:v>
      </x:c>
      <x:c r="G18" s="19" t="str">
        <x:v>/leads/trash</x:v>
      </x:c>
      <x:c r="H18" s="19" t="str">
        <x:v>已在前端菜单/页面体现</x:v>
      </x:c>
      <x:c r="I18" s="19" t="str">
        <x:v>src/app/pages/TrashLeads.tsx</x:v>
      </x:c>
    </x:row>
    <x:row r="19">
      <x:c r="A19" s="19" t="str">
        <x:v>线索管理</x:v>
      </x:c>
      <x:c r="B19" s="19" t="str">
        <x:v>线索详情</x:v>
      </x:c>
      <x:c r="C19" s="19" t="str">
        <x:v>基础信息查看</x:v>
      </x:c>
      <x:c r="D19" s="19" t="str">
        <x:v>展示线索联系人、需求、来源、意向、标签和关联主体。</x:v>
      </x:c>
      <x:c r="E19" s="19" t="str">
        <x:v>从公海、我的线索、垃圾线索进入时保留不同返回来源。</x:v>
      </x:c>
      <x:c r="F19" s="19" t="str">
        <x:v>联系人、电话、微信、客户需求、来源</x:v>
      </x:c>
      <x:c r="G19" s="19" t="str">
        <x:v>/leads/:id</x:v>
      </x:c>
      <x:c r="H19" s="19" t="str">
        <x:v>已在前端页面体现</x:v>
      </x:c>
      <x:c r="I19" s="19" t="str">
        <x:v>src/app/pages/LeadDetail.tsx</x:v>
      </x:c>
    </x:row>
    <x:row r="20">
      <x:c r="A20" s="19" t="str">
        <x:v>线索管理</x:v>
      </x:c>
      <x:c r="B20" s="19" t="str">
        <x:v>线索详情</x:v>
      </x:c>
      <x:c r="C20" s="19" t="str">
        <x:v>线索编辑</x:v>
      </x:c>
      <x:c r="D20" s="19" t="str">
        <x:v>编辑线索基本资料和业务属性。</x:v>
      </x:c>
      <x:c r="E20" s="19" t="str">
        <x:v>不同来源状态下操作按钮不同。</x:v>
      </x:c>
      <x:c r="F20" s="19" t="str">
        <x:v>线索名称、客户称呼、联系方式、标签</x:v>
      </x:c>
      <x:c r="G20" s="19" t="str">
        <x:v>/leads/:id</x:v>
      </x:c>
      <x:c r="H20" s="19" t="str">
        <x:v>已在前端页面体现</x:v>
      </x:c>
      <x:c r="I20" s="19" t="str">
        <x:v>src/app/pages/LeadDetail.tsx</x:v>
      </x:c>
    </x:row>
    <x:row r="21">
      <x:c r="A21" s="19" t="str">
        <x:v>线索管理</x:v>
      </x:c>
      <x:c r="B21" s="19" t="str">
        <x:v>线索详情</x:v>
      </x:c>
      <x:c r="C21" s="19" t="str">
        <x:v>跟进记录</x:v>
      </x:c>
      <x:c r="D21" s="19" t="str">
        <x:v>记录每次销售跟进情况，形成时间线。</x:v>
      </x:c>
      <x:c r="E21" s="19" t="str">
        <x:v>可新增跟进；跟进会更新状态、意向、进度和提醒状态。</x:v>
      </x:c>
      <x:c r="F21" s="19" t="str">
        <x:v>跟进方式、客户状态、意向、跟进详情</x:v>
      </x:c>
      <x:c r="G21" s="19" t="str">
        <x:v>/leads/:id</x:v>
      </x:c>
      <x:c r="H21" s="19" t="str">
        <x:v>已在前端页面体现</x:v>
      </x:c>
      <x:c r="I21" s="19" t="str">
        <x:v>OA需求文档.md; src/app/pages/LeadDetail.tsx</x:v>
      </x:c>
    </x:row>
    <x:row r="22">
      <x:c r="A22" s="19" t="str">
        <x:v>线索管理</x:v>
      </x:c>
      <x:c r="B22" s="19" t="str">
        <x:v>线索详情</x:v>
      </x:c>
      <x:c r="C22" s="19" t="str">
        <x:v>跟进提醒</x:v>
      </x:c>
      <x:c r="D22" s="19" t="str">
        <x:v>线索超时未跟进时生成提醒。</x:v>
      </x:c>
      <x:c r="E22" s="19" t="str">
        <x:v>预约时间优先，固定时效兜底；新增跟进后提醒消失。</x:v>
      </x:c>
      <x:c r="F22" s="19" t="str">
        <x:v>nextFollowAt、lastFollowAt、reminderId</x:v>
      </x:c>
      <x:c r="G22" s="19" t="str">
        <x:v>/leads/my; /leads/:id</x:v>
      </x:c>
      <x:c r="H22" s="19" t="str">
        <x:v>已在提醒系统体现</x:v>
      </x:c>
      <x:c r="I22" s="19" t="str">
        <x:v>src/app/reminders/adapters/getLeadReminders.ts</x:v>
      </x:c>
    </x:row>
    <x:row r="23">
      <x:c r="A23" s="19" t="str">
        <x:v>线索管理</x:v>
      </x:c>
      <x:c r="B23" s="19" t="str">
        <x:v>线索详情</x:v>
      </x:c>
      <x:c r="C23" s="19" t="str">
        <x:v>标签管理</x:v>
      </x:c>
      <x:c r="D23" s="19" t="str">
        <x:v>给线索添加业务标签，如 APP、小程序、管理系统等。</x:v>
      </x:c>
      <x:c r="E23" s="19" t="str">
        <x:v>支持预设标签和自定义标签。</x:v>
      </x:c>
      <x:c r="F23" s="19" t="str">
        <x:v>tags、customTag</x:v>
      </x:c>
      <x:c r="G23" s="19" t="str">
        <x:v>/leads/public; /leads/:id</x:v>
      </x:c>
      <x:c r="H23" s="19" t="str">
        <x:v>已在前端页面体现</x:v>
      </x:c>
      <x:c r="I23" s="19" t="str">
        <x:v>src/app/pages/PublicLeads.tsx</x:v>
      </x:c>
    </x:row>
    <x:row r="24">
      <x:c r="A24" s="19" t="str">
        <x:v>线索管理</x:v>
      </x:c>
      <x:c r="B24" s="19" t="str">
        <x:v>线索详情</x:v>
      </x:c>
      <x:c r="C24" s="19" t="str">
        <x:v>关联客户主体</x:v>
      </x:c>
      <x:c r="D24" s="19" t="str">
        <x:v>将线索与已有客户主体绑定。</x:v>
      </x:c>
      <x:c r="E24" s="19" t="str">
        <x:v>支持在详情页发起绑定；未建客户时可后续新建。</x:v>
      </x:c>
      <x:c r="F24" s="19" t="str">
        <x:v>customerId、customerName、bindTime</x:v>
      </x:c>
      <x:c r="G24" s="19" t="str">
        <x:v>/leads/:id</x:v>
      </x:c>
      <x:c r="H24" s="19" t="str">
        <x:v>已在前端页面体现</x:v>
      </x:c>
      <x:c r="I24" s="19" t="str">
        <x:v>src/app/pages/LeadDetail.tsx</x:v>
      </x:c>
    </x:row>
    <x:row r="25">
      <x:c r="A25" s="19" t="str">
        <x:v>线索管理</x:v>
      </x:c>
      <x:c r="B25" s="19" t="str">
        <x:v>线索列表</x:v>
      </x:c>
      <x:c r="C25" s="19" t="str">
        <x:v>查看本公司主体资料</x:v>
      </x:c>
      <x:c r="D25" s="19" t="str">
        <x:v>在线索列表点击公司主体名称打开公司资料弹窗。</x:v>
      </x:c>
      <x:c r="E25" s="19" t="str">
        <x:v>线索入口只读，默认展示公司资料 Tab。</x:v>
      </x:c>
      <x:c r="F25" s="19" t="str">
        <x:v>CompanyEntityRecord、files、invoiceInfo</x:v>
      </x:c>
      <x:c r="G25" s="19" t="str">
        <x:v>/leads/public; /leads/my</x:v>
      </x:c>
      <x:c r="H25" s="19" t="str">
        <x:v>已在前端页面体现</x:v>
      </x:c>
      <x:c r="I25" s="19" t="str">
        <x:v>docs/superpowers/specs/2026-05-12-company-entity-info-design.md</x:v>
      </x:c>
    </x:row>
    <x:row r="26">
      <x:c r="A26" s="19" t="str">
        <x:v>线索管理</x:v>
      </x:c>
      <x:c r="B26" s="19" t="str">
        <x:v>线索详情</x:v>
      </x:c>
      <x:c r="C26" s="19" t="str">
        <x:v>报价记录</x:v>
      </x:c>
      <x:c r="D26" s="19" t="str">
        <x:v>在线索详情右侧维护报价单记录。</x:v>
      </x:c>
      <x:c r="E26" s="19" t="str">
        <x:v>支持新增、编辑、删除报价原型动作。</x:v>
      </x:c>
      <x:c r="F26" s="19" t="str">
        <x:v>报价金额、报价状态、审批状态</x:v>
      </x:c>
      <x:c r="G26" s="19" t="str">
        <x:v>/leads/:id</x:v>
      </x:c>
      <x:c r="H26" s="19" t="str">
        <x:v>已在前端页面体现</x:v>
      </x:c>
      <x:c r="I26" s="19" t="str">
        <x:v>src/app/pages/LeadDetail.tsx</x:v>
      </x:c>
    </x:row>
    <x:row r="27">
      <x:c r="A27" s="19" t="str">
        <x:v>线索管理</x:v>
      </x:c>
      <x:c r="B27" s="19" t="str">
        <x:v>线索详情</x:v>
      </x:c>
      <x:c r="C27" s="19" t="str">
        <x:v>合同记录</x:v>
      </x:c>
      <x:c r="D27" s="19" t="str">
        <x:v>查看线索关联的合同记录。</x:v>
      </x:c>
      <x:c r="E27" s="19" t="str">
        <x:v>合同状态与回款信息在详情页聚合展示。</x:v>
      </x:c>
      <x:c r="F27" s="19" t="str">
        <x:v>contractId、contractNo、amount、status</x:v>
      </x:c>
      <x:c r="G27" s="19" t="str">
        <x:v>/leads/:id</x:v>
      </x:c>
      <x:c r="H27" s="19" t="str">
        <x:v>已在前端页面体现</x:v>
      </x:c>
      <x:c r="I27" s="19" t="str">
        <x:v>src/app/pages/LeadDetail.tsx</x:v>
      </x:c>
    </x:row>
    <x:row r="28">
      <x:c r="A28" s="19" t="str">
        <x:v>线索管理</x:v>
      </x:c>
      <x:c r="B28" s="19" t="str">
        <x:v>线索详情</x:v>
      </x:c>
      <x:c r="C28" s="19" t="str">
        <x:v>回款与发票</x:v>
      </x:c>
      <x:c r="D28" s="19" t="str">
        <x:v>查看线索相关回款计划、实际回款和发票信息。</x:v>
      </x:c>
      <x:c r="E28" s="19" t="str">
        <x:v>支持重置付款节点和新增付款节点的原型操作。</x:v>
      </x:c>
      <x:c r="F28" s="19" t="str">
        <x:v>paymentPeriods、invoiceRecords</x:v>
      </x:c>
      <x:c r="G28" s="19" t="str">
        <x:v>/leads/:id</x:v>
      </x:c>
      <x:c r="H28" s="19" t="str">
        <x:v>已在前端页面体现</x:v>
      </x:c>
      <x:c r="I28" s="19" t="str">
        <x:v>src/app/pages/LeadDetail.tsx</x:v>
      </x:c>
    </x:row>
    <x:row r="29">
      <x:c r="A29" s="19" t="str">
        <x:v>线索管理</x:v>
      </x:c>
      <x:c r="B29" s="19" t="str">
        <x:v>线索详情</x:v>
      </x:c>
      <x:c r="C29" s="19" t="str">
        <x:v>出差申请</x:v>
      </x:c>
      <x:c r="D29" s="19" t="str">
        <x:v>在线索维度记录销售拜访或商务出差申请。</x:v>
      </x:c>
      <x:c r="E29" s="19" t="str">
        <x:v>可新增申请，进入审批流原型。</x:v>
      </x:c>
      <x:c r="F29" s="19" t="str">
        <x:v>出差地点、日期、预算、审批状态</x:v>
      </x:c>
      <x:c r="G29" s="19" t="str">
        <x:v>/leads/:id</x:v>
      </x:c>
      <x:c r="H29" s="19" t="str">
        <x:v>已在前端页面体现</x:v>
      </x:c>
      <x:c r="I29" s="19" t="str">
        <x:v>src/app/pages/LeadDetail.tsx</x:v>
      </x:c>
    </x:row>
    <x:row r="30">
      <x:c r="A30" s="19" t="str">
        <x:v>线索管理</x:v>
      </x:c>
      <x:c r="B30" s="19" t="str">
        <x:v>线索详情</x:v>
      </x:c>
      <x:c r="C30" s="19" t="str">
        <x:v>报销申请</x:v>
      </x:c>
      <x:c r="D30" s="19" t="str">
        <x:v>在线索维度记录招待、交通等商务成本。</x:v>
      </x:c>
      <x:c r="E30" s="19" t="str">
        <x:v>可新增报销申请，形成商务成本来源。</x:v>
      </x:c>
      <x:c r="F30" s="19" t="str">
        <x:v>费用类型、金额、发票、审批状态</x:v>
      </x:c>
      <x:c r="G30" s="19" t="str">
        <x:v>/leads/:id</x:v>
      </x:c>
      <x:c r="H30" s="19" t="str">
        <x:v>已在前端页面体现</x:v>
      </x:c>
      <x:c r="I30" s="19" t="str">
        <x:v>src/app/pages/LeadDetail.tsx</x:v>
      </x:c>
    </x:row>
    <x:row r="31">
      <x:c r="A31" s="19" t="str">
        <x:v>线索管理</x:v>
      </x:c>
      <x:c r="B31" s="19" t="str">
        <x:v>线索详情</x:v>
      </x:c>
      <x:c r="C31" s="19" t="str">
        <x:v>项目文档</x:v>
      </x:c>
      <x:c r="D31" s="19" t="str">
        <x:v>沉淀线索/项目售前阶段资料。</x:v>
      </x:c>
      <x:c r="E31" s="19" t="str">
        <x:v>展示文档列表，供后续项目交付复用。</x:v>
      </x:c>
      <x:c r="F31" s="19" t="str">
        <x:v>文档标题、负责人、线上地址、附件</x:v>
      </x:c>
      <x:c r="G31" s="19" t="str">
        <x:v>/leads/:id</x:v>
      </x:c>
      <x:c r="H31" s="19" t="str">
        <x:v>已在前端页面体现</x:v>
      </x:c>
      <x:c r="I31" s="19" t="str">
        <x:v>src/app/pages/LeadDetail.tsx</x:v>
      </x:c>
    </x:row>
    <x:row r="32">
      <x:c r="A32" s="19" t="str">
        <x:v>线索管理</x:v>
      </x:c>
      <x:c r="B32" s="19" t="str">
        <x:v>线索治理</x:v>
      </x:c>
      <x:c r="C32" s="19" t="str">
        <x:v>跟进达标规则</x:v>
      </x:c>
      <x:c r="D32" s="19" t="str">
        <x:v>定义销售跟进频次、响应时间等治理规则。</x:v>
      </x:c>
      <x:c r="E32" s="19" t="str">
        <x:v>不达标可限制领取新线索或触发回收。</x:v>
      </x:c>
      <x:c r="F32" s="19" t="str">
        <x:v>跟进次数、响应时长、违规次数</x:v>
      </x:c>
      <x:c r="G32" s="19" t="str">
        <x:v>/leads/governance</x:v>
      </x:c>
      <x:c r="H32" s="19" t="str">
        <x:v>已在菜单/规划体现</x:v>
      </x:c>
      <x:c r="I32" s="19" t="str">
        <x:v>CONTEXT.md; docs/superpowers/specs/2026-06-30-hubx-development-plan.md</x:v>
      </x:c>
    </x:row>
    <x:row r="33">
      <x:c r="A33" s="19" t="str">
        <x:v>线索管理</x:v>
      </x:c>
      <x:c r="B33" s="19" t="str">
        <x:v>线索治理</x:v>
      </x:c>
      <x:c r="C33" s="19" t="str">
        <x:v>治理看板</x:v>
      </x:c>
      <x:c r="D33" s="19" t="str">
        <x:v>按销售统计达标率、违规次数和线索转化率。</x:v>
      </x:c>
      <x:c r="E33" s="19" t="str">
        <x:v>用于管理层查看跟进质量。</x:v>
      </x:c>
      <x:c r="F33" s="19" t="str">
        <x:v>销售、达标率、违规次数、转化率</x:v>
      </x:c>
      <x:c r="G33" s="19" t="str">
        <x:v>/leads/governance</x:v>
      </x:c>
      <x:c r="H33" s="19" t="str">
        <x:v>已在菜单/规划体现</x:v>
      </x:c>
      <x:c r="I33" s="19" t="str">
        <x:v>src/app/pages/leads/LeadGovernance.tsx</x:v>
      </x:c>
    </x:row>
    <x:row r="34">
      <x:c r="A34" s="19" t="str">
        <x:v>线索成本</x:v>
      </x:c>
      <x:c r="B34" s="19" t="str">
        <x:v>成本看板</x:v>
      </x:c>
      <x:c r="C34" s="19" t="str">
        <x:v>投放成本总览</x:v>
      </x:c>
      <x:c r="D34" s="19" t="str">
        <x:v>展示广告消耗、线索数、有效线索数、平均线索成本。</x:v>
      </x:c>
      <x:c r="E34" s="19" t="str">
        <x:v>按时间、平台、渠道聚合。</x:v>
      </x:c>
      <x:c r="F34" s="19" t="str">
        <x:v>spend、leadCount、validLeadCount、cpl</x:v>
      </x:c>
      <x:c r="G34" s="19" t="str">
        <x:v>/lead-cost/dashboard</x:v>
      </x:c>
      <x:c r="H34" s="19" t="str">
        <x:v>已在前端菜单/页面体现</x:v>
      </x:c>
      <x:c r="I34" s="19" t="str">
        <x:v>src/app/pages/lead-cost/LeadCostDashboard.tsx</x:v>
      </x:c>
    </x:row>
    <x:row r="35">
      <x:c r="A35" s="19" t="str">
        <x:v>线索成本</x:v>
      </x:c>
      <x:c r="B35" s="19" t="str">
        <x:v>成本看板</x:v>
      </x:c>
      <x:c r="C35" s="19" t="str">
        <x:v>渠道效果排行</x:v>
      </x:c>
      <x:c r="D35" s="19" t="str">
        <x:v>对百度、小红书、抖音等渠道计算成本与有效率。</x:v>
      </x:c>
      <x:c r="E35" s="19" t="str">
        <x:v>用于判断投放渠道优先级。</x:v>
      </x:c>
      <x:c r="F35" s="19" t="str">
        <x:v>platform、channel、conversionRate、score</x:v>
      </x:c>
      <x:c r="G35" s="19" t="str">
        <x:v>/lead-cost/dashboard</x:v>
      </x:c>
      <x:c r="H35" s="19" t="str">
        <x:v>已在前端页面体现</x:v>
      </x:c>
      <x:c r="I35" s="19" t="str">
        <x:v>src/app/pages/lead-cost/mockData.ts</x:v>
      </x:c>
    </x:row>
    <x:row r="36">
      <x:c r="A36" s="19" t="str">
        <x:v>线索成本</x:v>
      </x:c>
      <x:c r="B36" s="19" t="str">
        <x:v>投放日报</x:v>
      </x:c>
      <x:c r="C36" s="19" t="str">
        <x:v>日消耗录入</x:v>
      </x:c>
      <x:c r="D36" s="19" t="str">
        <x:v>记录每天各平台账户的广告消耗和线索结果。</x:v>
      </x:c>
      <x:c r="E36" s="19" t="str">
        <x:v>支持新增日报记录。</x:v>
      </x:c>
      <x:c r="F36" s="19" t="str">
        <x:v>日期、平台、账户、消耗、线索数</x:v>
      </x:c>
      <x:c r="G36" s="19" t="str">
        <x:v>/lead-cost/daily</x:v>
      </x:c>
      <x:c r="H36" s="19" t="str">
        <x:v>已在前端菜单/页面体现</x:v>
      </x:c>
      <x:c r="I36" s="19" t="str">
        <x:v>src/app/pages/lead-cost/LeadCostDaily.tsx</x:v>
      </x:c>
    </x:row>
    <x:row r="37">
      <x:c r="A37" s="19" t="str">
        <x:v>线索成本</x:v>
      </x:c>
      <x:c r="B37" s="19" t="str">
        <x:v>投放日报</x:v>
      </x:c>
      <x:c r="C37" s="19" t="str">
        <x:v>有效线索统计</x:v>
      </x:c>
      <x:c r="D37" s="19" t="str">
        <x:v>区分总线索和有效线索，用于后续渠道评分。</x:v>
      </x:c>
      <x:c r="E37" s="19" t="str">
        <x:v>自动计算有效率和有效线索成本。</x:v>
      </x:c>
      <x:c r="F37" s="19" t="str">
        <x:v>validLeads、validRate、validCpl</x:v>
      </x:c>
      <x:c r="G37" s="19" t="str">
        <x:v>/lead-cost/daily</x:v>
      </x:c>
      <x:c r="H37" s="19" t="str">
        <x:v>已在前端页面体现</x:v>
      </x:c>
      <x:c r="I37" s="19" t="str">
        <x:v>src/app/pages/lead-cost/mockData.ts</x:v>
      </x:c>
    </x:row>
    <x:row r="38">
      <x:c r="A38" s="19" t="str">
        <x:v>线索成本</x:v>
      </x:c>
      <x:c r="B38" s="19" t="str">
        <x:v>充值记录</x:v>
      </x:c>
      <x:c r="C38" s="19" t="str">
        <x:v>平台账户充值</x:v>
      </x:c>
      <x:c r="D38" s="19" t="str">
        <x:v>维护广告平台充值记录和余额变化。</x:v>
      </x:c>
      <x:c r="E38" s="19" t="str">
        <x:v>支持新增充值记录。</x:v>
      </x:c>
      <x:c r="F38" s="19" t="str">
        <x:v>平台、账户、充值金额、充值日期</x:v>
      </x:c>
      <x:c r="G38" s="19" t="str">
        <x:v>/lead-cost/recharge</x:v>
      </x:c>
      <x:c r="H38" s="19" t="str">
        <x:v>已在前端菜单/页面体现</x:v>
      </x:c>
      <x:c r="I38" s="19" t="str">
        <x:v>src/app/pages/lead-cost/LeadCostRecharge.tsx</x:v>
      </x:c>
    </x:row>
    <x:row r="39">
      <x:c r="A39" s="19" t="str">
        <x:v>线索成本</x:v>
      </x:c>
      <x:c r="B39" s="19" t="str">
        <x:v>渠道分析</x:v>
      </x:c>
      <x:c r="C39" s="19" t="str">
        <x:v>渠道综合评分</x:v>
      </x:c>
      <x:c r="D39" s="19" t="str">
        <x:v>按渠道计算消耗、线索、成本、有效率和综合评分。</x:v>
      </x:c>
      <x:c r="E39" s="19" t="str">
        <x:v>用于辅助优化投放预算。</x:v>
      </x:c>
      <x:c r="F39" s="19" t="str">
        <x:v>channelSummary、score、rank</x:v>
      </x:c>
      <x:c r="G39" s="19" t="str">
        <x:v>/lead-cost/analysis</x:v>
      </x:c>
      <x:c r="H39" s="19" t="str">
        <x:v>已在前端菜单/页面体现</x:v>
      </x:c>
      <x:c r="I39" s="19" t="str">
        <x:v>src/app/pages/lead-cost/LeadCostAnalysis.tsx</x:v>
      </x:c>
    </x:row>
    <x:row r="40">
      <x:c r="A40" s="19" t="str">
        <x:v>线索成本</x:v>
      </x:c>
      <x:c r="B40" s="19" t="str">
        <x:v>渠道分析</x:v>
      </x:c>
      <x:c r="C40" s="19" t="str">
        <x:v>优化师维度分析</x:v>
      </x:c>
      <x:c r="D40" s="19" t="str">
        <x:v>按优化师查看投放消耗与线索产出。</x:v>
      </x:c>
      <x:c r="E40" s="19" t="str">
        <x:v>对优化师投放效果进行横向比较。</x:v>
      </x:c>
      <x:c r="F40" s="19" t="str">
        <x:v>optimizer、spend、leads、validRate</x:v>
      </x:c>
      <x:c r="G40" s="19" t="str">
        <x:v>/lead-cost/analysis</x:v>
      </x:c>
      <x:c r="H40" s="19" t="str">
        <x:v>已在前端页面体现</x:v>
      </x:c>
      <x:c r="I40" s="19" t="str">
        <x:v>src/app/pages/lead-cost/mockData.ts</x:v>
      </x:c>
    </x:row>
    <x:row r="41">
      <x:c r="A41" s="19" t="str">
        <x:v>线索成本</x:v>
      </x:c>
      <x:c r="B41" s="19" t="str">
        <x:v>投放日报模板</x:v>
      </x:c>
      <x:c r="C41" s="19" t="str">
        <x:v>投放日报联动日报模块</x:v>
      </x:c>
      <x:c r="D41" s="19" t="str">
        <x:v>投放人员填写日报时可录入平台投放数据。</x:v>
      </x:c>
      <x:c r="E41" s="19" t="str">
        <x:v>日报中的投放数据可作为线索成本来源。</x:v>
      </x:c>
      <x:c r="F41" s="19" t="str">
        <x:v>AdDeliveryRow、platform、spend、leads</x:v>
      </x:c>
      <x:c r="G41" s="19" t="str">
        <x:v>日报弹窗</x:v>
      </x:c>
      <x:c r="H41" s="19" t="str">
        <x:v>已在前端页面体现</x:v>
      </x:c>
      <x:c r="I41" s="19" t="str">
        <x:v>src/app/pages/daily-report/AdDeliveryDailyTemplate.tsx</x:v>
      </x:c>
    </x:row>
    <x:row r="42">
      <x:c r="A42" s="19" t="str">
        <x:v>客户管理</x:v>
      </x:c>
      <x:c r="B42" s="19" t="str">
        <x:v>客户列表</x:v>
      </x:c>
      <x:c r="C42" s="19" t="str">
        <x:v>客户主体列表</x:v>
      </x:c>
      <x:c r="D42" s="19" t="str">
        <x:v>集中管理个人、企业、机构等客户主体。</x:v>
      </x:c>
      <x:c r="E42" s="19" t="str">
        <x:v>支持搜索、新建、查看、编辑。</x:v>
      </x:c>
      <x:c r="F42" s="19" t="str">
        <x:v>客户名称、类型、行业、等级、状态</x:v>
      </x:c>
      <x:c r="G42" s="19" t="str">
        <x:v>/customers</x:v>
      </x:c>
      <x:c r="H42" s="19" t="str">
        <x:v>已在前端菜单/页面体现</x:v>
      </x:c>
      <x:c r="I42" s="19" t="str">
        <x:v>src/app/pages/Customers.tsx</x:v>
      </x:c>
    </x:row>
    <x:row r="43">
      <x:c r="A43" s="19" t="str">
        <x:v>客户管理</x:v>
      </x:c>
      <x:c r="B43" s="19" t="str">
        <x:v>客户列表</x:v>
      </x:c>
      <x:c r="C43" s="19" t="str">
        <x:v>新建客户</x:v>
      </x:c>
      <x:c r="D43" s="19" t="str">
        <x:v>创建客户主体并维护基础资料。</x:v>
      </x:c>
      <x:c r="E43" s="19" t="str">
        <x:v>录入客户名称、类型、行业、联系人等信息。</x:v>
      </x:c>
      <x:c r="F43" s="19" t="str">
        <x:v>customerName、type、industry、contacts</x:v>
      </x:c>
      <x:c r="G43" s="19" t="str">
        <x:v>/customers</x:v>
      </x:c>
      <x:c r="H43" s="19" t="str">
        <x:v>已在前端页面体现</x:v>
      </x:c>
      <x:c r="I43" s="19" t="str">
        <x:v>src/app/pages/Customers.tsx</x:v>
      </x:c>
    </x:row>
    <x:row r="44">
      <x:c r="A44" s="19" t="str">
        <x:v>客户管理</x:v>
      </x:c>
      <x:c r="B44" s="19" t="str">
        <x:v>客户详情</x:v>
      </x:c>
      <x:c r="C44" s="19" t="str">
        <x:v>客户基础信息</x:v>
      </x:c>
      <x:c r="D44" s="19" t="str">
        <x:v>展示客户主体完整基础档案。</x:v>
      </x:c>
      <x:c r="E44" s="19" t="str">
        <x:v>包含企业规模、注册资本、地址、统一社会信用代码等。</x:v>
      </x:c>
      <x:c r="F44" s="19" t="str">
        <x:v>basicInfo、creditCode、address</x:v>
      </x:c>
      <x:c r="G44" s="19" t="str">
        <x:v>/customers/:id</x:v>
      </x:c>
      <x:c r="H44" s="19" t="str">
        <x:v>已在前端页面体现</x:v>
      </x:c>
      <x:c r="I44" s="19" t="str">
        <x:v>src/app/pages/CustomerDetail.tsx</x:v>
      </x:c>
    </x:row>
    <x:row r="45">
      <x:c r="A45" s="19" t="str">
        <x:v>客户管理</x:v>
      </x:c>
      <x:c r="B45" s="19" t="str">
        <x:v>客户详情</x:v>
      </x:c>
      <x:c r="C45" s="19" t="str">
        <x:v>联系人管理</x:v>
      </x:c>
      <x:c r="D45" s="19" t="str">
        <x:v>维护客户多个联系人并标记关键联系人。</x:v>
      </x:c>
      <x:c r="E45" s="19" t="str">
        <x:v>支持查看、编辑、删除联系人原型操作。</x:v>
      </x:c>
      <x:c r="F45" s="19" t="str">
        <x:v>联系人、职位、电话、微信、邮箱</x:v>
      </x:c>
      <x:c r="G45" s="19" t="str">
        <x:v>/customers/:id</x:v>
      </x:c>
      <x:c r="H45" s="19" t="str">
        <x:v>已在前端页面体现</x:v>
      </x:c>
      <x:c r="I45" s="19" t="str">
        <x:v>src/app/pages/CustomerDetail.tsx</x:v>
      </x:c>
    </x:row>
    <x:row r="46">
      <x:c r="A46" s="19" t="str">
        <x:v>客户管理</x:v>
      </x:c>
      <x:c r="B46" s="19" t="str">
        <x:v>客户详情</x:v>
      </x:c>
      <x:c r="C46" s="19" t="str">
        <x:v>线索记录</x:v>
      </x:c>
      <x:c r="D46" s="19" t="str">
        <x:v>查看客户历史关联线索。</x:v>
      </x:c>
      <x:c r="E46" s="19" t="str">
        <x:v>从客户维度追踪售前来源。</x:v>
      </x:c>
      <x:c r="F46" s="19" t="str">
        <x:v>leadId、leadName、source、owner</x:v>
      </x:c>
      <x:c r="G46" s="19" t="str">
        <x:v>/customers/:id</x:v>
      </x:c>
      <x:c r="H46" s="19" t="str">
        <x:v>已在前端页面体现</x:v>
      </x:c>
      <x:c r="I46" s="19" t="str">
        <x:v>src/app/pages/CustomerDetail.tsx</x:v>
      </x:c>
    </x:row>
    <x:row r="47">
      <x:c r="A47" s="19" t="str">
        <x:v>客户管理</x:v>
      </x:c>
      <x:c r="B47" s="19" t="str">
        <x:v>客户详情</x:v>
      </x:c>
      <x:c r="C47" s="19" t="str">
        <x:v>合同记录</x:v>
      </x:c>
      <x:c r="D47" s="19" t="str">
        <x:v>查看客户历史签约合同。</x:v>
      </x:c>
      <x:c r="E47" s="19" t="str">
        <x:v>用于客户 360° 视图。</x:v>
      </x:c>
      <x:c r="F47" s="19" t="str">
        <x:v>contractNo、amount、status、signDate</x:v>
      </x:c>
      <x:c r="G47" s="19" t="str">
        <x:v>/customers/:id</x:v>
      </x:c>
      <x:c r="H47" s="19" t="str">
        <x:v>已在前端页面体现</x:v>
      </x:c>
      <x:c r="I47" s="19" t="str">
        <x:v>src/app/pages/CustomerDetail.tsx</x:v>
      </x:c>
    </x:row>
    <x:row r="48">
      <x:c r="A48" s="19" t="str">
        <x:v>客户管理</x:v>
      </x:c>
      <x:c r="B48" s="19" t="str">
        <x:v>客户详情</x:v>
      </x:c>
      <x:c r="C48" s="19" t="str">
        <x:v>开票信息</x:v>
      </x:c>
      <x:c r="D48" s="19" t="str">
        <x:v>维护客户开票抬头、税号、开户行、账号等信息。</x:v>
      </x:c>
      <x:c r="E48" s="19" t="str">
        <x:v>可编辑开票信息弹窗。</x:v>
      </x:c>
      <x:c r="F48" s="19" t="str">
        <x:v>invoiceTitle、taxNo、bank、account</x:v>
      </x:c>
      <x:c r="G48" s="19" t="str">
        <x:v>/customers/:id</x:v>
      </x:c>
      <x:c r="H48" s="19" t="str">
        <x:v>已在前端页面体现</x:v>
      </x:c>
      <x:c r="I48" s="19" t="str">
        <x:v>src/app/pages/CustomerDetail.tsx</x:v>
      </x:c>
    </x:row>
    <x:row r="49">
      <x:c r="A49" s="19" t="str">
        <x:v>客户管理</x:v>
      </x:c>
      <x:c r="B49" s="19" t="str">
        <x:v>客户详情</x:v>
      </x:c>
      <x:c r="C49" s="19" t="str">
        <x:v>收款信息</x:v>
      </x:c>
      <x:c r="D49" s="19" t="str">
        <x:v>查看客户汇款账户与付款记录。</x:v>
      </x:c>
      <x:c r="E49" s="19" t="str">
        <x:v>用于票款核对。</x:v>
      </x:c>
      <x:c r="F49" s="19" t="str">
        <x:v>paymentAccount、collectionRecords</x:v>
      </x:c>
      <x:c r="G49" s="19" t="str">
        <x:v>/customers/:id</x:v>
      </x:c>
      <x:c r="H49" s="19" t="str">
        <x:v>已在前端页面体现</x:v>
      </x:c>
      <x:c r="I49" s="19" t="str">
        <x:v>src/app/pages/CustomerDetail.tsx</x:v>
      </x:c>
    </x:row>
    <x:row r="50">
      <x:c r="A50" s="19" t="str">
        <x:v>客户管理</x:v>
      </x:c>
      <x:c r="B50" s="19" t="str">
        <x:v>客户管理</x:v>
      </x:c>
      <x:c r="C50" s="19" t="str">
        <x:v>客户查重</x:v>
      </x:c>
      <x:c r="D50" s="19" t="str">
        <x:v>创建或导入客户时按手机号、信用代码识别重复客户。</x:v>
      </x:c>
      <x:c r="E50" s="19" t="str">
        <x:v>避免重复建档。</x:v>
      </x:c>
      <x:c r="F50" s="19" t="str">
        <x:v>phone、creditCode</x:v>
      </x:c>
      <x:c r="G50" s="19" t="str">
        <x:v>/customers</x:v>
      </x:c>
      <x:c r="H50" s="19" t="str">
        <x:v>需求文档提及</x:v>
      </x:c>
      <x:c r="I50" s="19" t="str">
        <x:v>src/imports/运营管理系统第一阶段功能列表.md</x:v>
      </x:c>
    </x:row>
    <x:row r="51">
      <x:c r="A51" s="19" t="str">
        <x:v>客户管理</x:v>
      </x:c>
      <x:c r="B51" s="19" t="str">
        <x:v>客户管理</x:v>
      </x:c>
      <x:c r="C51" s="19" t="str">
        <x:v>客户资料导入导出</x:v>
      </x:c>
      <x:c r="D51" s="19" t="str">
        <x:v>批量导入或导出客户资料用于线下整理。</x:v>
      </x:c>
      <x:c r="E51" s="19" t="str">
        <x:v>Excel 模板导入导出。</x:v>
      </x:c>
      <x:c r="F51" s="19" t="str">
        <x:v>客户主数据</x:v>
      </x:c>
      <x:c r="G51" s="19" t="str">
        <x:v>/customers</x:v>
      </x:c>
      <x:c r="H51" s="19" t="str">
        <x:v>需求文档提及</x:v>
      </x:c>
      <x:c r="I51" s="19" t="str">
        <x:v>src/imports/运营管理系统第一阶段功能列表.md</x:v>
      </x:c>
    </x:row>
    <x:row r="52">
      <x:c r="A52" s="19" t="str">
        <x:v>客户管理</x:v>
      </x:c>
      <x:c r="B52" s="19" t="str">
        <x:v>客户服务</x:v>
      </x:c>
      <x:c r="C52" s="19" t="str">
        <x:v>客户关怀提醒</x:v>
      </x:c>
      <x:c r="D52" s="19" t="str">
        <x:v>按节日、生日、续费等规则触发客户关怀提醒。</x:v>
      </x:c>
      <x:c r="E52" s="19" t="str">
        <x:v>作为客户服务扩展能力。</x:v>
      </x:c>
      <x:c r="F52" s="19" t="str">
        <x:v>reminderRule、customerId</x:v>
      </x:c>
      <x:c r="G52" s="19" t="str">
        <x:v>客户服务</x:v>
      </x:c>
      <x:c r="H52" s="19" t="str">
        <x:v>需求文档提及</x:v>
      </x:c>
      <x:c r="I52" s="19" t="str">
        <x:v>src/imports/运营管理系统第一阶段功能列表.md</x:v>
      </x:c>
    </x:row>
    <x:row r="53">
      <x:c r="A53" s="19" t="str">
        <x:v>客户管理</x:v>
      </x:c>
      <x:c r="B53" s="19" t="str">
        <x:v>客户服务</x:v>
      </x:c>
      <x:c r="C53" s="19" t="str">
        <x:v>客户投诉管理</x:v>
      </x:c>
      <x:c r="D53" s="19" t="str">
        <x:v>记录客户投诉、处理过程和结果。</x:v>
      </x:c>
      <x:c r="E53" s="19" t="str">
        <x:v>用于售后服务质量追踪。</x:v>
      </x:c>
      <x:c r="F53" s="19" t="str">
        <x:v>complaint、handler、status</x:v>
      </x:c>
      <x:c r="G53" s="19" t="str">
        <x:v>客户服务</x:v>
      </x:c>
      <x:c r="H53" s="19" t="str">
        <x:v>需求文档提及</x:v>
      </x:c>
      <x:c r="I53" s="19" t="str">
        <x:v>src/imports/运营管理系统第一阶段功能列表.md</x:v>
      </x:c>
    </x:row>
    <x:row r="54">
      <x:c r="A54" s="19" t="str">
        <x:v>合同管理</x:v>
      </x:c>
      <x:c r="B54" s="19" t="str">
        <x:v>合同列表</x:v>
      </x:c>
      <x:c r="C54" s="19" t="str">
        <x:v>合同台账</x:v>
      </x:c>
      <x:c r="D54" s="19" t="str">
        <x:v>按状态展示所有合同。</x:v>
      </x:c>
      <x:c r="E54" s="19" t="str">
        <x:v>支持按草稿、审批中、待寄出、待回寄、履行中、已归档、已作废筛选。</x:v>
      </x:c>
      <x:c r="F54" s="19" t="str">
        <x:v>contractNo、status、customer、amount</x:v>
      </x:c>
      <x:c r="G54" s="19" t="str">
        <x:v>/contracts</x:v>
      </x:c>
      <x:c r="H54" s="19" t="str">
        <x:v>已在前端菜单/页面体现</x:v>
      </x:c>
      <x:c r="I54" s="19" t="str">
        <x:v>src/app/pages/Contracts.tsx</x:v>
      </x:c>
    </x:row>
    <x:row r="55">
      <x:c r="A55" s="19" t="str">
        <x:v>合同管理</x:v>
      </x:c>
      <x:c r="B55" s="19" t="str">
        <x:v>合同新建</x:v>
      </x:c>
      <x:c r="C55" s="19" t="str">
        <x:v>合同 Wizard</x:v>
      </x:c>
      <x:c r="D55" s="19" t="str">
        <x:v>从线索/报价单创建合同并选择合同模板。</x:v>
      </x:c>
      <x:c r="E55" s="19" t="str">
        <x:v>创建后形成草稿合同和 V1 版本。</x:v>
      </x:c>
      <x:c r="F55" s="19" t="str">
        <x:v>leadId、quoteId、templateId、formData</x:v>
      </x:c>
      <x:c r="G55" s="19" t="str">
        <x:v>/contracts/new</x:v>
      </x:c>
      <x:c r="H55" s="19" t="str">
        <x:v>已在前端页面体现</x:v>
      </x:c>
      <x:c r="I55" s="19" t="str">
        <x:v>src/app/pages/contracts/ContractWizard.tsx</x:v>
      </x:c>
    </x:row>
    <x:row r="56">
      <x:c r="A56" s="19" t="str">
        <x:v>合同管理</x:v>
      </x:c>
      <x:c r="B56" s="19" t="str">
        <x:v>合同编辑</x:v>
      </x:c>
      <x:c r="C56" s="19" t="str">
        <x:v>保存草稿</x:v>
      </x:c>
      <x:c r="D56" s="19" t="str">
        <x:v>编辑合同表单并保存为当前草稿。</x:v>
      </x:c>
      <x:c r="E56" s="19" t="str">
        <x:v>保存后更新 updatedAt。</x:v>
      </x:c>
      <x:c r="F56" s="19" t="str">
        <x:v>ContractFormData、current</x:v>
      </x:c>
      <x:c r="G56" s="19" t="str">
        <x:v>/contracts/:id/edit</x:v>
      </x:c>
      <x:c r="H56" s="19" t="str">
        <x:v>已在前端页面体现</x:v>
      </x:c>
      <x:c r="I56" s="19" t="str">
        <x:v>src/app/pages/contracts/ContractEditor.tsx</x:v>
      </x:c>
    </x:row>
    <x:row r="57">
      <x:c r="A57" s="19" t="str">
        <x:v>合同管理</x:v>
      </x:c>
      <x:c r="B57" s="19" t="str">
        <x:v>合同编辑</x:v>
      </x:c>
      <x:c r="C57" s="19" t="str">
        <x:v>保存版本</x:v>
      </x:c>
      <x:c r="D57" s="19" t="str">
        <x:v>将当前合同内容保存为新的版本历史。</x:v>
      </x:c>
      <x:c r="E57" s="19" t="str">
        <x:v>版本号自动递增；保留渲染 HTML。</x:v>
      </x:c>
      <x:c r="F57" s="19" t="str">
        <x:v>versionNo、renderedHtml、label</x:v>
      </x:c>
      <x:c r="G57" s="19" t="str">
        <x:v>/contracts/:id/edit</x:v>
      </x:c>
      <x:c r="H57" s="19" t="str">
        <x:v>已在前端页面体现</x:v>
      </x:c>
      <x:c r="I57" s="19" t="str">
        <x:v>src/app/pages/contracts/ContractsContext.tsx</x:v>
      </x:c>
    </x:row>
    <x:row r="58">
      <x:c r="A58" s="19" t="str">
        <x:v>合同管理</x:v>
      </x:c>
      <x:c r="B58" s="19" t="str">
        <x:v>合同编辑</x:v>
      </x:c>
      <x:c r="C58" s="19" t="str">
        <x:v>提交审批</x:v>
      </x:c>
      <x:c r="D58" s="19" t="str">
        <x:v>合同草稿提交进入审批中状态。</x:v>
      </x:c>
      <x:c r="E58" s="19" t="str">
        <x:v>提交前自动保存版本；首节点发起申请自动通过。</x:v>
      </x:c>
      <x:c r="F58" s="19" t="str">
        <x:v>approvalFlow、approvedVersionNo</x:v>
      </x:c>
      <x:c r="G58" s="19" t="str">
        <x:v>/contracts/:id/edit</x:v>
      </x:c>
      <x:c r="H58" s="19" t="str">
        <x:v>已在前端页面体现</x:v>
      </x:c>
      <x:c r="I58" s="19" t="str">
        <x:v>src/app/pages/contracts/ContractsContext.tsx</x:v>
      </x:c>
    </x:row>
    <x:row r="59">
      <x:c r="A59" s="19" t="str">
        <x:v>合同管理</x:v>
      </x:c>
      <x:c r="B59" s="19" t="str">
        <x:v>合同审批</x:v>
      </x:c>
      <x:c r="C59" s="19" t="str">
        <x:v>撤回审批</x:v>
      </x:c>
      <x:c r="D59" s="19" t="str">
        <x:v>审批中合同可撤回为草稿。</x:v>
      </x:c>
      <x:c r="E59" s="19" t="str">
        <x:v>撤回后重置审批流。</x:v>
      </x:c>
      <x:c r="F59" s="19" t="str">
        <x:v>status、approvalFlow</x:v>
      </x:c>
      <x:c r="G59" s="19" t="str">
        <x:v>/contracts/:id</x:v>
      </x:c>
      <x:c r="H59" s="19" t="str">
        <x:v>已在前端页面体现</x:v>
      </x:c>
      <x:c r="I59" s="19" t="str">
        <x:v>src/app/pages/contracts/ContractsContext.tsx</x:v>
      </x:c>
    </x:row>
    <x:row r="60">
      <x:c r="A60" s="19" t="str">
        <x:v>合同管理</x:v>
      </x:c>
      <x:c r="B60" s="19" t="str">
        <x:v>合同审批</x:v>
      </x:c>
      <x:c r="C60" s="19" t="str">
        <x:v>审批通过/驳回</x:v>
      </x:c>
      <x:c r="D60" s="19" t="str">
        <x:v>审批节点可同意或驳回合同。</x:v>
      </x:c>
      <x:c r="E60" s="19" t="str">
        <x:v>全部审批通过后进入待寄出；驳回后返回草稿。</x:v>
      </x:c>
      <x:c r="F60" s="19" t="str">
        <x:v>stepIndex、comment、approvalStatus</x:v>
      </x:c>
      <x:c r="G60" s="19" t="str">
        <x:v>/contracts/:id</x:v>
      </x:c>
      <x:c r="H60" s="19" t="str">
        <x:v>已在前端页面体现</x:v>
      </x:c>
      <x:c r="I60" s="19" t="str">
        <x:v>src/app/pages/contracts/ContractsContext.tsx</x:v>
      </x:c>
    </x:row>
    <x:row r="61">
      <x:c r="A61" s="19" t="str">
        <x:v>合同管理</x:v>
      </x:c>
      <x:c r="B61" s="19" t="str">
        <x:v>合同流转</x:v>
      </x:c>
      <x:c r="C61" s="19" t="str">
        <x:v>标记已寄出</x:v>
      </x:c>
      <x:c r="D61" s="19" t="str">
        <x:v>合同审批通过后可标记寄出给客户。</x:v>
      </x:c>
      <x:c r="E61" s="19" t="str">
        <x:v>状态从待寄出流转为待回寄。</x:v>
      </x:c>
      <x:c r="F61" s="19" t="str">
        <x:v>mailedAt、status</x:v>
      </x:c>
      <x:c r="G61" s="19" t="str">
        <x:v>/contracts/:id</x:v>
      </x:c>
      <x:c r="H61" s="19" t="str">
        <x:v>已在前端页面体现</x:v>
      </x:c>
      <x:c r="I61" s="19" t="str">
        <x:v>src/app/pages/contracts/ContractsContext.tsx</x:v>
      </x:c>
    </x:row>
    <x:row r="62">
      <x:c r="A62" s="19" t="str">
        <x:v>合同管理</x:v>
      </x:c>
      <x:c r="B62" s="19" t="str">
        <x:v>合同归档</x:v>
      </x:c>
      <x:c r="C62" s="19" t="str">
        <x:v>上传扫描件</x:v>
      </x:c>
      <x:c r="D62" s="19" t="str">
        <x:v>客户回寄后上传合同扫描件并归档。</x:v>
      </x:c>
      <x:c r="E62" s="19" t="str">
        <x:v>支持多文件上传和备注；可设置主扫描件。</x:v>
      </x:c>
      <x:c r="F62" s="19" t="str">
        <x:v>ScanFile、ScanArchiveEntry、primaryScanId</x:v>
      </x:c>
      <x:c r="G62" s="19" t="str">
        <x:v>/contracts/:id</x:v>
      </x:c>
      <x:c r="H62" s="19" t="str">
        <x:v>已在前端页面体现</x:v>
      </x:c>
      <x:c r="I62" s="19" t="str">
        <x:v>src/app/pages/contracts/components/ScanFileList.tsx</x:v>
      </x:c>
    </x:row>
    <x:row r="63">
      <x:c r="A63" s="19" t="str">
        <x:v>合同管理</x:v>
      </x:c>
      <x:c r="B63" s="19" t="str">
        <x:v>合同归档</x:v>
      </x:c>
      <x:c r="C63" s="19" t="str">
        <x:v>设置主扫描件</x:v>
      </x:c>
      <x:c r="D63" s="19" t="str">
        <x:v>从归档扫描件中指定主文件。</x:v>
      </x:c>
      <x:c r="E63" s="19" t="str">
        <x:v>用于后续合同查看和下载。</x:v>
      </x:c>
      <x:c r="F63" s="19" t="str">
        <x:v>entryId、primaryScanId</x:v>
      </x:c>
      <x:c r="G63" s="19" t="str">
        <x:v>/contracts/:id</x:v>
      </x:c>
      <x:c r="H63" s="19" t="str">
        <x:v>已在前端页面体现</x:v>
      </x:c>
      <x:c r="I63" s="19" t="str">
        <x:v>src/app/pages/contracts/ContractsContext.tsx</x:v>
      </x:c>
    </x:row>
    <x:row r="64">
      <x:c r="A64" s="19" t="str">
        <x:v>合同管理</x:v>
      </x:c>
      <x:c r="B64" s="19" t="str">
        <x:v>合同作废</x:v>
      </x:c>
      <x:c r="C64" s="19" t="str">
        <x:v>作废合同</x:v>
      </x:c>
      <x:c r="D64" s="19" t="str">
        <x:v>对不再履行的合同进行作废。</x:v>
      </x:c>
      <x:c r="E64" s="19" t="str">
        <x:v>需要填写作废原因。</x:v>
      </x:c>
      <x:c r="F64" s="19" t="str">
        <x:v>voidReason、status=voided</x:v>
      </x:c>
      <x:c r="G64" s="19" t="str">
        <x:v>/contracts/:id</x:v>
      </x:c>
      <x:c r="H64" s="19" t="str">
        <x:v>已在前端页面体现</x:v>
      </x:c>
      <x:c r="I64" s="19" t="str">
        <x:v>src/app/pages/contracts/ContractsContext.tsx</x:v>
      </x:c>
    </x:row>
    <x:row r="65">
      <x:c r="A65" s="19" t="str">
        <x:v>合同管理</x:v>
      </x:c>
      <x:c r="B65" s="19" t="str">
        <x:v>合同详情</x:v>
      </x:c>
      <x:c r="C65" s="19" t="str">
        <x:v>基础信息</x:v>
      </x:c>
      <x:c r="D65" s="19" t="str">
        <x:v>展示合同编号、客户、金额、状态、关联合同版本等信息。</x:v>
      </x:c>
      <x:c r="E65" s="19" t="str">
        <x:v>支持返回、编辑、操作栏流转。</x:v>
      </x:c>
      <x:c r="F65" s="19" t="str">
        <x:v>contractNo、customerName、amount</x:v>
      </x:c>
      <x:c r="G65" s="19" t="str">
        <x:v>/contracts/:id</x:v>
      </x:c>
      <x:c r="H65" s="19" t="str">
        <x:v>已在前端页面体现</x:v>
      </x:c>
      <x:c r="I65" s="19" t="str">
        <x:v>src/app/pages/ContractDetail.tsx</x:v>
      </x:c>
    </x:row>
    <x:row r="66">
      <x:c r="A66" s="19" t="str">
        <x:v>合同管理</x:v>
      </x:c>
      <x:c r="B66" s="19" t="str">
        <x:v>合同详情</x:v>
      </x:c>
      <x:c r="C66" s="19" t="str">
        <x:v>款项与回款计划</x:v>
      </x:c>
      <x:c r="D66" s="19" t="str">
        <x:v>展示合同付款节点及回款计划。</x:v>
      </x:c>
      <x:c r="E66" s="19" t="str">
        <x:v>用于合同详情内查看应收节点。</x:v>
      </x:c>
      <x:c r="F66" s="19" t="str">
        <x:v>paymentPlan、dueDate、amount</x:v>
      </x:c>
      <x:c r="G66" s="19" t="str">
        <x:v>/contracts/:id</x:v>
      </x:c>
      <x:c r="H66" s="19" t="str">
        <x:v>已在前端页面体现</x:v>
      </x:c>
      <x:c r="I66" s="19" t="str">
        <x:v>src/app/pages/ContractDetail.tsx</x:v>
      </x:c>
    </x:row>
    <x:row r="67">
      <x:c r="A67" s="19" t="str">
        <x:v>合同管理</x:v>
      </x:c>
      <x:c r="B67" s="19" t="str">
        <x:v>合同详情</x:v>
      </x:c>
      <x:c r="C67" s="19" t="str">
        <x:v>合同正文预览</x:v>
      </x:c>
      <x:c r="D67" s="19" t="str">
        <x:v>按合同模板渲染合同正文。</x:v>
      </x:c>
      <x:c r="E67" s="19" t="str">
        <x:v>不同合同模板复用模板渲染器。</x:v>
      </x:c>
      <x:c r="F67" s="19" t="str">
        <x:v>templateId、renderedHtml</x:v>
      </x:c>
      <x:c r="G67" s="19" t="str">
        <x:v>/contracts/:id</x:v>
      </x:c>
      <x:c r="H67" s="19" t="str">
        <x:v>已在前端页面体现</x:v>
      </x:c>
      <x:c r="I67" s="19" t="str">
        <x:v>src/app/pages/contracts/templates/*</x:v>
      </x:c>
    </x:row>
    <x:row r="68">
      <x:c r="A68" s="19" t="str">
        <x:v>合同管理</x:v>
      </x:c>
      <x:c r="B68" s="19" t="str">
        <x:v>合同详情</x:v>
      </x:c>
      <x:c r="C68" s="19" t="str">
        <x:v>版本时间线</x:v>
      </x:c>
      <x:c r="D68" s="19" t="str">
        <x:v>展示合同各历史版本。</x:v>
      </x:c>
      <x:c r="E68" s="19" t="str">
        <x:v>可切换版本查看对应正文和审批信息。</x:v>
      </x:c>
      <x:c r="F68" s="19" t="str">
        <x:v>versionHistory、versionNo、createdAt</x:v>
      </x:c>
      <x:c r="G68" s="19" t="str">
        <x:v>/contracts/:id</x:v>
      </x:c>
      <x:c r="H68" s="19" t="str">
        <x:v>已在前端页面体现</x:v>
      </x:c>
      <x:c r="I68" s="19" t="str">
        <x:v>src/app/pages/contracts/components/VersionTimeline.tsx</x:v>
      </x:c>
    </x:row>
    <x:row r="69">
      <x:c r="A69" s="19" t="str">
        <x:v>合同管理</x:v>
      </x:c>
      <x:c r="B69" s="19" t="str">
        <x:v>合同详情</x:v>
      </x:c>
      <x:c r="C69" s="19" t="str">
        <x:v>跟进记录</x:v>
      </x:c>
      <x:c r="D69" s="19" t="str">
        <x:v>在合同维度记录商务跟进。</x:v>
      </x:c>
      <x:c r="E69" s="19" t="str">
        <x:v>详情右侧新增跟进记录。</x:v>
      </x:c>
      <x:c r="F69" s="19" t="str">
        <x:v>followUps、type、content、createdAt</x:v>
      </x:c>
      <x:c r="G69" s="19" t="str">
        <x:v>/contracts/:id</x:v>
      </x:c>
      <x:c r="H69" s="19" t="str">
        <x:v>已在前端页面体现</x:v>
      </x:c>
      <x:c r="I69" s="19" t="str">
        <x:v>src/app/pages/ContractDetail.tsx</x:v>
      </x:c>
    </x:row>
    <x:row r="70">
      <x:c r="A70" s="19" t="str">
        <x:v>合同管理</x:v>
      </x:c>
      <x:c r="B70" s="19" t="str">
        <x:v>合同模板</x:v>
      </x:c>
      <x:c r="C70" s="19" t="str">
        <x:v>软件销售合同模板</x:v>
      </x:c>
      <x:c r="D70" s="19" t="str">
        <x:v>提供软件销售类合同文本模板。</x:v>
      </x:c>
      <x:c r="E70" s="19" t="str">
        <x:v>基于表单字段渲染正文。</x:v>
      </x:c>
      <x:c r="F70" s="19" t="str">
        <x:v>softwareSales template</x:v>
      </x:c>
      <x:c r="G70" s="19" t="str">
        <x:v>合同模板</x:v>
      </x:c>
      <x:c r="H70" s="19" t="str">
        <x:v>已在前端代码体现</x:v>
      </x:c>
      <x:c r="I70" s="19" t="str">
        <x:v>src/app/pages/contracts/templates/softwareSales.ts</x:v>
      </x:c>
    </x:row>
    <x:row r="71">
      <x:c r="A71" s="19" t="str">
        <x:v>合同管理</x:v>
      </x:c>
      <x:c r="B71" s="19" t="str">
        <x:v>合同模板</x:v>
      </x:c>
      <x:c r="C71" s="19" t="str">
        <x:v>服务/云服务合同模板</x:v>
      </x:c>
      <x:c r="D71" s="19" t="str">
        <x:v>提供服务合同、云服务合同模板。</x:v>
      </x:c>
      <x:c r="E71" s="19" t="str">
        <x:v>基于合同类型生成不同正文。</x:v>
      </x:c>
      <x:c r="F71" s="19" t="str">
        <x:v>serviceContract、cloudService template</x:v>
      </x:c>
      <x:c r="G71" s="19" t="str">
        <x:v>合同模板</x:v>
      </x:c>
      <x:c r="H71" s="19" t="str">
        <x:v>已在前端代码体现</x:v>
      </x:c>
      <x:c r="I71" s="19" t="str">
        <x:v>src/app/pages/contracts/templates/*</x:v>
      </x:c>
    </x:row>
    <x:row r="72">
      <x:c r="A72" s="19" t="str">
        <x:v>合同回款</x:v>
      </x:c>
      <x:c r="B72" s="19" t="str">
        <x:v>回款看板</x:v>
      </x:c>
      <x:c r="C72" s="19" t="str">
        <x:v>五列 Kanban</x:v>
      </x:c>
      <x:c r="D72" s="19" t="str">
        <x:v>按正常回款、即将到期、已逾期、卡点阻塞、已结清展示合同。</x:v>
      </x:c>
      <x:c r="E72" s="19" t="str">
        <x:v>状态由合同付款节点、逾期、卡点和结清情况派生。</x:v>
      </x:c>
      <x:c r="F72" s="19" t="str">
        <x:v>PaymentKanbanColumn、Contract</x:v>
      </x:c>
      <x:c r="G72" s="19" t="str">
        <x:v>/contracts/payments</x:v>
      </x:c>
      <x:c r="H72" s="19" t="str">
        <x:v>已在前端菜单/页面体现</x:v>
      </x:c>
      <x:c r="I72" s="19" t="str">
        <x:v>docs/superpowers/specs/2026-07-01-contract-payment-kanban-design.md</x:v>
      </x:c>
    </x:row>
    <x:row r="73">
      <x:c r="A73" s="19" t="str">
        <x:v>合同回款</x:v>
      </x:c>
      <x:c r="B73" s="19" t="str">
        <x:v>回款看板</x:v>
      </x:c>
      <x:c r="C73" s="19" t="str">
        <x:v>摘要栏</x:v>
      </x:c>
      <x:c r="D73" s="19" t="str">
        <x:v>展示总合同数、总应收、本月已回款、逾期金额、卡点金额等指标。</x:v>
      </x:c>
      <x:c r="E73" s="19" t="str">
        <x:v>根据当前合同数据汇总。</x:v>
      </x:c>
      <x:c r="F73" s="19" t="str">
        <x:v>totalReceivable、overdueAmount、blockedAmount</x:v>
      </x:c>
      <x:c r="G73" s="19" t="str">
        <x:v>/contracts/payments</x:v>
      </x:c>
      <x:c r="H73" s="19" t="str">
        <x:v>已在前端页面体现</x:v>
      </x:c>
      <x:c r="I73" s="19" t="str">
        <x:v>src/app/pages/contracts/components/PaymentKanbanSummaryBar.tsx</x:v>
      </x:c>
    </x:row>
    <x:row r="74">
      <x:c r="A74" s="19" t="str">
        <x:v>合同回款</x:v>
      </x:c>
      <x:c r="B74" s="19" t="str">
        <x:v>回款看板</x:v>
      </x:c>
      <x:c r="C74" s="19" t="str">
        <x:v>合同卡片</x:v>
      </x:c>
      <x:c r="D74" s="19" t="str">
        <x:v>每张卡片展示合同编号、客户、金额、进度、负责人、下期付款等信息。</x:v>
      </x:c>
      <x:c r="E74" s="19" t="str">
        <x:v>点击打开侧边抽屉详情。</x:v>
      </x:c>
      <x:c r="F74" s="19" t="str">
        <x:v>PaymentKanbanCard props</x:v>
      </x:c>
      <x:c r="G74" s="19" t="str">
        <x:v>/contracts/payments</x:v>
      </x:c>
      <x:c r="H74" s="19" t="str">
        <x:v>已在前端页面体现</x:v>
      </x:c>
      <x:c r="I74" s="19" t="str">
        <x:v>src/app/pages/contracts/components/PaymentKanbanCard.tsx</x:v>
      </x:c>
    </x:row>
    <x:row r="75">
      <x:c r="A75" s="19" t="str">
        <x:v>合同回款</x:v>
      </x:c>
      <x:c r="B75" s="19" t="str">
        <x:v>回款看板</x:v>
      </x:c>
      <x:c r="C75" s="19" t="str">
        <x:v>筛选</x:v>
      </x:c>
      <x:c r="D75" s="19" t="str">
        <x:v>按负责人、客户、日期范围、卡点类型筛选回款合同。</x:v>
      </x:c>
      <x:c r="E75" s="19" t="str">
        <x:v>减少大合同量时的看板噪音。</x:v>
      </x:c>
      <x:c r="F75" s="19" t="str">
        <x:v>owner、customer、dateRange、blockerType</x:v>
      </x:c>
      <x:c r="G75" s="19" t="str">
        <x:v>/contracts/payments</x:v>
      </x:c>
      <x:c r="H75" s="19" t="str">
        <x:v>已在前端页面体现</x:v>
      </x:c>
      <x:c r="I75" s="19" t="str">
        <x:v>docs/superpowers/specs/2026-07-01-contract-payment-kanban-design.md</x:v>
      </x:c>
    </x:row>
    <x:row r="76">
      <x:c r="A76" s="19" t="str">
        <x:v>合同回款</x:v>
      </x:c>
      <x:c r="B76" s="19" t="str">
        <x:v>侧边抽屉</x:v>
      </x:c>
      <x:c r="C76" s="19" t="str">
        <x:v>回款时间线</x:v>
      </x:c>
      <x:c r="D76" s="19" t="str">
        <x:v>展示计划付款节点、实际到账记录和卡点事件。</x:v>
      </x:c>
      <x:c r="E76" s="19" t="str">
        <x:v>用于判断回款进度与风险。</x:v>
      </x:c>
      <x:c r="F76" s="19" t="str">
        <x:v>paymentPlan、collections、blockers</x:v>
      </x:c>
      <x:c r="G76" s="19" t="str">
        <x:v>/contracts/payments</x:v>
      </x:c>
      <x:c r="H76" s="19" t="str">
        <x:v>已在前端页面体现</x:v>
      </x:c>
      <x:c r="I76" s="19" t="str">
        <x:v>src/app/pages/contracts/components/PaymentTimeline.tsx</x:v>
      </x:c>
    </x:row>
    <x:row r="77">
      <x:c r="A77" s="19" t="str">
        <x:v>合同回款</x:v>
      </x:c>
      <x:c r="B77" s="19" t="str">
        <x:v>侧边抽屉</x:v>
      </x:c>
      <x:c r="C77" s="19" t="str">
        <x:v>合同文本</x:v>
      </x:c>
      <x:c r="D77" s="19" t="str">
        <x:v>在回款看板抽屉中查看合同正文。</x:v>
      </x:c>
      <x:c r="E77" s="19" t="str">
        <x:v>减少回款跟进时跳转。</x:v>
      </x:c>
      <x:c r="F77" s="19" t="str">
        <x:v>renderedHtml、contractText</x:v>
      </x:c>
      <x:c r="G77" s="19" t="str">
        <x:v>/contracts/payments</x:v>
      </x:c>
      <x:c r="H77" s="19" t="str">
        <x:v>已在前端页面体现</x:v>
      </x:c>
      <x:c r="I77" s="19" t="str">
        <x:v>src/app/pages/contracts/components/ContractTextViewer.tsx</x:v>
      </x:c>
    </x:row>
    <x:row r="78">
      <x:c r="A78" s="19" t="str">
        <x:v>合同回款</x:v>
      </x:c>
      <x:c r="B78" s="19" t="str">
        <x:v>侧边抽屉</x:v>
      </x:c>
      <x:c r="C78" s="19" t="str">
        <x:v>卡点管理</x:v>
      </x:c>
      <x:c r="D78" s="19" t="str">
        <x:v>记录逾期未付、客户拖延、开票未回、验收卡住、合同纠纷等卡点。</x:v>
      </x:c>
      <x:c r="E78" s="19" t="str">
        <x:v>支持新增卡点、解决卡点。</x:v>
      </x:c>
      <x:c r="F78" s="19" t="str">
        <x:v>PaymentBlocker、blockerType、resolvedAt</x:v>
      </x:c>
      <x:c r="G78" s="19" t="str">
        <x:v>/contracts/payments</x:v>
      </x:c>
      <x:c r="H78" s="19" t="str">
        <x:v>已在前端页面体现</x:v>
      </x:c>
      <x:c r="I78" s="19" t="str">
        <x:v>src/app/pages/contracts/components/BlockerDunningPanel.tsx</x:v>
      </x:c>
    </x:row>
    <x:row r="79">
      <x:c r="A79" s="19" t="str">
        <x:v>合同回款</x:v>
      </x:c>
      <x:c r="B79" s="19" t="str">
        <x:v>侧边抽屉</x:v>
      </x:c>
      <x:c r="C79" s="19" t="str">
        <x:v>催款记录</x:v>
      </x:c>
      <x:c r="D79" s="19" t="str">
        <x:v>记录每次催款动作和客户反馈。</x:v>
      </x:c>
      <x:c r="E79" s="19" t="str">
        <x:v>用于回款追踪留痕。</x:v>
      </x:c>
      <x:c r="F79" s="19" t="str">
        <x:v>DunningRecord、method、content</x:v>
      </x:c>
      <x:c r="G79" s="19" t="str">
        <x:v>/contracts/payments</x:v>
      </x:c>
      <x:c r="H79" s="19" t="str">
        <x:v>已在前端页面体现</x:v>
      </x:c>
      <x:c r="I79" s="19" t="str">
        <x:v>src/app/pages/contracts/components/BlockerDunningPanel.tsx</x:v>
      </x:c>
    </x:row>
    <x:row r="80">
      <x:c r="A80" s="19" t="str">
        <x:v>合同回款</x:v>
      </x:c>
      <x:c r="B80" s="19" t="str">
        <x:v>回款操作</x:v>
      </x:c>
      <x:c r="C80" s="19" t="str">
        <x:v>录入回款</x:v>
      </x:c>
      <x:c r="D80" s="19" t="str">
        <x:v>为合同新增实际到账记录。</x:v>
      </x:c>
      <x:c r="E80" s="19" t="str">
        <x:v>录入后自动影响回款进度和看板列。</x:v>
      </x:c>
      <x:c r="F80" s="19" t="str">
        <x:v>CollectionRecord、amount、receivedAt</x:v>
      </x:c>
      <x:c r="G80" s="19" t="str">
        <x:v>/contracts/payments</x:v>
      </x:c>
      <x:c r="H80" s="19" t="str">
        <x:v>已在 Context 操作体现</x:v>
      </x:c>
      <x:c r="I80" s="19" t="str">
        <x:v>src/app/pages/contracts/ContractsContext.tsx</x:v>
      </x:c>
    </x:row>
    <x:row r="81">
      <x:c r="A81" s="19" t="str">
        <x:v>合同回款</x:v>
      </x:c>
      <x:c r="B81" s="19" t="str">
        <x:v>回款预测</x:v>
      </x:c>
      <x:c r="C81" s="19" t="str">
        <x:v>未来现金流预测</x:v>
      </x:c>
      <x:c r="D81" s="19" t="str">
        <x:v>按合同付款节点预测未来 3/6/12 个月现金流。</x:v>
      </x:c>
      <x:c r="E81" s="19" t="str">
        <x:v>用于财务预估回款节奏。</x:v>
      </x:c>
      <x:c r="F81" s="19" t="str">
        <x:v>paymentNode、forecastMonth、amount</x:v>
      </x:c>
      <x:c r="G81" s="19" t="str">
        <x:v>/contracts/forecast</x:v>
      </x:c>
      <x:c r="H81" s="19" t="str">
        <x:v>已在前端菜单/页面体现</x:v>
      </x:c>
      <x:c r="I81" s="19" t="str">
        <x:v>src/app/pages/contracts/forecast/PaymentForecast.tsx</x:v>
      </x:c>
    </x:row>
    <x:row r="82">
      <x:c r="A82" s="19" t="str">
        <x:v>合同回款</x:v>
      </x:c>
      <x:c r="B82" s="19" t="str">
        <x:v>回款预测</x:v>
      </x:c>
      <x:c r="C82" s="19" t="str">
        <x:v>逾期风险预警</x:v>
      </x:c>
      <x:c r="D82" s="19" t="str">
        <x:v>识别即将到期或可能逾期的付款节点。</x:v>
      </x:c>
      <x:c r="E82" s="19" t="str">
        <x:v>辅助销售提前催款。</x:v>
      </x:c>
      <x:c r="F82" s="19" t="str">
        <x:v>dueDate、riskLevel、owner</x:v>
      </x:c>
      <x:c r="G82" s="19" t="str">
        <x:v>/contracts/forecast</x:v>
      </x:c>
      <x:c r="H82" s="19" t="str">
        <x:v>已在规划/页面体现</x:v>
      </x:c>
      <x:c r="I82" s="19" t="str">
        <x:v>docs/superpowers/specs/2026-06-30-hubx-development-plan.md</x:v>
      </x:c>
    </x:row>
    <x:row r="83">
      <x:c r="A83" s="19" t="str">
        <x:v>项目管理</x:v>
      </x:c>
      <x:c r="B83" s="19" t="str">
        <x:v>项目列表</x:v>
      </x:c>
      <x:c r="C83" s="19" t="str">
        <x:v>项目台账</x:v>
      </x:c>
      <x:c r="D83" s="19" t="str">
        <x:v>展示所有项目的编号、名称、负责人、销售、主体、进展、状态和进度。</x:v>
      </x:c>
      <x:c r="E83" s="19" t="str">
        <x:v>支持分页、筛选和横向滚动。</x:v>
      </x:c>
      <x:c r="F83" s="19" t="str">
        <x:v>Project、owner、status、progress</x:v>
      </x:c>
      <x:c r="G83" s="19" t="str">
        <x:v>/projects</x:v>
      </x:c>
      <x:c r="H83" s="19" t="str">
        <x:v>已在前端菜单/页面体现</x:v>
      </x:c>
      <x:c r="I83" s="19" t="str">
        <x:v>src/app/pages/Projects.tsx</x:v>
      </x:c>
    </x:row>
    <x:row r="84">
      <x:c r="A84" s="19" t="str">
        <x:v>项目管理</x:v>
      </x:c>
      <x:c r="B84" s="19" t="str">
        <x:v>项目列表</x:v>
      </x:c>
      <x:c r="C84" s="19" t="str">
        <x:v>项目筛选</x:v>
      </x:c>
      <x:c r="D84" s="19" t="str">
        <x:v>按项目名称、负责人、优先级、状态筛选。</x:v>
      </x:c>
      <x:c r="E84" s="19" t="str">
        <x:v>重置后恢复全量项目。</x:v>
      </x:c>
      <x:c r="F84" s="19" t="str">
        <x:v>keyword、ownerFilter、priorityFilter、statusFilter</x:v>
      </x:c>
      <x:c r="G84" s="19" t="str">
        <x:v>/projects</x:v>
      </x:c>
      <x:c r="H84" s="19" t="str">
        <x:v>已在前端页面体现</x:v>
      </x:c>
      <x:c r="I84" s="19" t="str">
        <x:v>docs/superpowers/specs/2026-05-09-project-management-foundation-design.md</x:v>
      </x:c>
    </x:row>
    <x:row r="85">
      <x:c r="A85" s="19" t="str">
        <x:v>项目管理</x:v>
      </x:c>
      <x:c r="B85" s="19" t="str">
        <x:v>项目列表</x:v>
      </x:c>
      <x:c r="C85" s="19" t="str">
        <x:v>新建项目</x:v>
      </x:c>
      <x:c r="D85" s="19" t="str">
        <x:v>创建项目基础信息。</x:v>
      </x:c>
      <x:c r="E85" s="19" t="str">
        <x:v>必填项目名称、优先级、状态、负责人。</x:v>
      </x:c>
      <x:c r="F85" s="19" t="str">
        <x:v>项目名称、业务线、负责人、角色分工</x:v>
      </x:c>
      <x:c r="G85" s="19" t="str">
        <x:v>/projects</x:v>
      </x:c>
      <x:c r="H85" s="19" t="str">
        <x:v>已在前端页面体现</x:v>
      </x:c>
      <x:c r="I85" s="19" t="str">
        <x:v>src/app/pages/Projects.tsx</x:v>
      </x:c>
    </x:row>
    <x:row r="86">
      <x:c r="A86" s="19" t="str">
        <x:v>项目管理</x:v>
      </x:c>
      <x:c r="B86" s="19" t="str">
        <x:v>项目列表</x:v>
      </x:c>
      <x:c r="C86" s="19" t="str">
        <x:v>编辑项目</x:v>
      </x:c>
      <x:c r="D86" s="19" t="str">
        <x:v>修改项目基础信息和团队角色。</x:v>
      </x:c>
      <x:c r="E86" s="19" t="str">
        <x:v>保存后列表与详情同步。</x:v>
      </x:c>
      <x:c r="F86" s="19" t="str">
        <x:v>Project fields</x:v>
      </x:c>
      <x:c r="G86" s="19" t="str">
        <x:v>/projects</x:v>
      </x:c>
      <x:c r="H86" s="19" t="str">
        <x:v>已在前端页面体现</x:v>
      </x:c>
      <x:c r="I86" s="19" t="str">
        <x:v>src/app/pages/Projects.tsx</x:v>
      </x:c>
    </x:row>
    <x:row r="87">
      <x:c r="A87" s="19" t="str">
        <x:v>项目管理</x:v>
      </x:c>
      <x:c r="B87" s="19" t="str">
        <x:v>项目列表</x:v>
      </x:c>
      <x:c r="C87" s="19" t="str">
        <x:v>删除项目</x:v>
      </x:c>
      <x:c r="D87" s="19" t="str">
        <x:v>从项目台账中删除项目。</x:v>
      </x:c>
      <x:c r="E87" s="19" t="str">
        <x:v>若存在关联日报，删除前提示确认。</x:v>
      </x:c>
      <x:c r="F87" s="19" t="str">
        <x:v>projectId、initialDailyReports</x:v>
      </x:c>
      <x:c r="G87" s="19" t="str">
        <x:v>/projects</x:v>
      </x:c>
      <x:c r="H87" s="19" t="str">
        <x:v>已在前端页面体现</x:v>
      </x:c>
      <x:c r="I87" s="19" t="str">
        <x:v>src/app/pages/Projects.tsx</x:v>
      </x:c>
    </x:row>
    <x:row r="88">
      <x:c r="A88" s="19" t="str">
        <x:v>项目管理</x:v>
      </x:c>
      <x:c r="B88" s="19" t="str">
        <x:v>项目列表</x:v>
      </x:c>
      <x:c r="C88" s="19" t="str">
        <x:v>新增项目跟进</x:v>
      </x:c>
      <x:c r="D88" s="19" t="str">
        <x:v>从列表直接添加项目进展。</x:v>
      </x:c>
      <x:c r="E88" s="19" t="str">
        <x:v>同步项目最新进展、状态和总进度。</x:v>
      </x:c>
      <x:c r="F88" s="19" t="str">
        <x:v>ProjectFollowUp、progress、status</x:v>
      </x:c>
      <x:c r="G88" s="19" t="str">
        <x:v>/projects</x:v>
      </x:c>
      <x:c r="H88" s="19" t="str">
        <x:v>已在前端页面体现</x:v>
      </x:c>
      <x:c r="I88" s="19" t="str">
        <x:v>src/app/pages/Projects.tsx</x:v>
      </x:c>
    </x:row>
    <x:row r="89">
      <x:c r="A89" s="19" t="str">
        <x:v>项目管理</x:v>
      </x:c>
      <x:c r="B89" s="19" t="str">
        <x:v>项目详情</x:v>
      </x:c>
      <x:c r="C89" s="19" t="str">
        <x:v>摘要卡片</x:v>
      </x:c>
      <x:c r="D89" s="19" t="str">
        <x:v>首屏展示交付进度、负责人、交付时间、总工时等关键摘要。</x:v>
      </x:c>
      <x:c r="E89" s="19" t="str">
        <x:v>异常或延期以预警样式提示。</x:v>
      </x:c>
      <x:c r="F89" s="19" t="str">
        <x:v>ProjectSummaryCard、totalHours</x:v>
      </x:c>
      <x:c r="G89" s="19" t="str">
        <x:v>/projects/:id</x:v>
      </x:c>
      <x:c r="H89" s="19" t="str">
        <x:v>已在前端页面体现</x:v>
      </x:c>
      <x:c r="I89" s="19" t="str">
        <x:v>docs/superpowers/specs/2026-06-13-project-detail-summary-redesign-design.md</x:v>
      </x:c>
    </x:row>
    <x:row r="90">
      <x:c r="A90" s="19" t="str">
        <x:v>项目管理</x:v>
      </x:c>
      <x:c r="B90" s="19" t="str">
        <x:v>项目详情</x:v>
      </x:c>
      <x:c r="C90" s="19" t="str">
        <x:v>基础信息</x:v>
      </x:c>
      <x:c r="D90" s="19" t="str">
        <x:v>展示项目编号、名称、进度、主体、状态、业务线、团队角色和备注。</x:v>
      </x:c>
      <x:c r="E90" s="19" t="str">
        <x:v>作为项目详情主信息页签。</x:v>
      </x:c>
      <x:c r="F90" s="19" t="str">
        <x:v>Project basic fields</x:v>
      </x:c>
      <x:c r="G90" s="19" t="str">
        <x:v>/projects/:id</x:v>
      </x:c>
      <x:c r="H90" s="19" t="str">
        <x:v>已在前端页面体现</x:v>
      </x:c>
      <x:c r="I90" s="19" t="str">
        <x:v>src/app/pages/ProjectDetail.tsx</x:v>
      </x:c>
    </x:row>
    <x:row r="91">
      <x:c r="A91" s="19" t="str">
        <x:v>项目管理</x:v>
      </x:c>
      <x:c r="B91" s="19" t="str">
        <x:v>项目详情</x:v>
      </x:c>
      <x:c r="C91" s="19" t="str">
        <x:v>关联合同</x:v>
      </x:c>
      <x:c r="D91" s="19" t="str">
        <x:v>项目可绑定已归档合同。</x:v>
      </x:c>
      <x:c r="E91" s="19" t="str">
        <x:v>有交付计划后更换/解除受限。</x:v>
      </x:c>
      <x:c r="F91" s="19" t="str">
        <x:v>contractId、selectedContractId</x:v>
      </x:c>
      <x:c r="G91" s="19" t="str">
        <x:v>/projects/:id</x:v>
      </x:c>
      <x:c r="H91" s="19" t="str">
        <x:v>已在前端页面体现</x:v>
      </x:c>
      <x:c r="I91" s="19" t="str">
        <x:v>src/app/pages/ProjectDetail.tsx</x:v>
      </x:c>
    </x:row>
    <x:row r="92">
      <x:c r="A92" s="19" t="str">
        <x:v>项目管理</x:v>
      </x:c>
      <x:c r="B92" s="19" t="str">
        <x:v>项目详情</x:v>
      </x:c>
      <x:c r="C92" s="19" t="str">
        <x:v>关联线索</x:v>
      </x:c>
      <x:c r="D92" s="19" t="str">
        <x:v>将项目与售前线索关联。</x:v>
      </x:c>
      <x:c r="E92" s="19" t="str">
        <x:v>可新增关联和删除关联。</x:v>
      </x:c>
      <x:c r="F92" s="19" t="str">
        <x:v>ProjectLeadRelation、leadId</x:v>
      </x:c>
      <x:c r="G92" s="19" t="str">
        <x:v>/projects/:id</x:v>
      </x:c>
      <x:c r="H92" s="19" t="str">
        <x:v>已在前端页面体现</x:v>
      </x:c>
      <x:c r="I92" s="19" t="str">
        <x:v>docs/superpowers/specs/2026-05-09-project-management-foundation-design.md</x:v>
      </x:c>
    </x:row>
    <x:row r="93">
      <x:c r="A93" s="19" t="str">
        <x:v>项目管理</x:v>
      </x:c>
      <x:c r="B93" s="19" t="str">
        <x:v>项目详情</x:v>
      </x:c>
      <x:c r="C93" s="19" t="str">
        <x:v>关联客户</x:v>
      </x:c>
      <x:c r="D93" s="19" t="str">
        <x:v>预留项目与客户主体的联动入口。</x:v>
      </x:c>
      <x:c r="E93" s="19" t="str">
        <x:v>当前作为占位说明，后续客户模块联动。</x:v>
      </x:c>
      <x:c r="F93" s="19" t="str">
        <x:v>customerId</x:v>
      </x:c>
      <x:c r="G93" s="19" t="str">
        <x:v>/projects/:id</x:v>
      </x:c>
      <x:c r="H93" s="19" t="str">
        <x:v>占位/规划体现</x:v>
      </x:c>
      <x:c r="I93" s="19" t="str">
        <x:v>src/app/pages/ProjectDetail.tsx</x:v>
      </x:c>
    </x:row>
    <x:row r="94">
      <x:c r="A94" s="19" t="str">
        <x:v>项目管理</x:v>
      </x:c>
      <x:c r="B94" s="19" t="str">
        <x:v>项目详情</x:v>
      </x:c>
      <x:c r="C94" s="19" t="str">
        <x:v>关联日报</x:v>
      </x:c>
      <x:c r="D94" s="19" t="str">
        <x:v>展示项目关联日报及人员工时汇总。</x:v>
      </x:c>
      <x:c r="E94" s="19" t="str">
        <x:v>先展示人员总工时，再展示日报明细。</x:v>
      </x:c>
      <x:c r="F94" s="19" t="str">
        <x:v>ProjectDailyReport、ProjectMemberHours</x:v>
      </x:c>
      <x:c r="G94" s="19" t="str">
        <x:v>/projects/:id</x:v>
      </x:c>
      <x:c r="H94" s="19" t="str">
        <x:v>已在前端页面体现</x:v>
      </x:c>
      <x:c r="I94" s="19" t="str">
        <x:v>docs/superpowers/specs/2026-05-09-project-management-foundation-design.md</x:v>
      </x:c>
    </x:row>
    <x:row r="95">
      <x:c r="A95" s="19" t="str">
        <x:v>项目管理</x:v>
      </x:c>
      <x:c r="B95" s="19" t="str">
        <x:v>项目详情</x:v>
      </x:c>
      <x:c r="C95" s="19" t="str">
        <x:v>项目文档</x:v>
      </x:c>
      <x:c r="D95" s="19" t="str">
        <x:v>维护项目文档、线上地址、负责人和说明。</x:v>
      </x:c>
      <x:c r="E95" s="19" t="str">
        <x:v>支持新增、编辑、删除文档。</x:v>
      </x:c>
      <x:c r="F95" s="19" t="str">
        <x:v>ProjectDocument、fileUrl、owner</x:v>
      </x:c>
      <x:c r="G95" s="19" t="str">
        <x:v>/projects/:id</x:v>
      </x:c>
      <x:c r="H95" s="19" t="str">
        <x:v>已在前端页面体现</x:v>
      </x:c>
      <x:c r="I95" s="19" t="str">
        <x:v>src/app/pages/ProjectDetail.tsx</x:v>
      </x:c>
    </x:row>
    <x:row r="96">
      <x:c r="A96" s="19" t="str">
        <x:v>项目管理</x:v>
      </x:c>
      <x:c r="B96" s="19" t="str">
        <x:v>项目详情</x:v>
      </x:c>
      <x:c r="C96" s="19" t="str">
        <x:v>右侧跟进记录</x:v>
      </x:c>
      <x:c r="D96" s="19" t="str">
        <x:v>按时间线展示项目跟进。</x:v>
      </x:c>
      <x:c r="E96" s="19" t="str">
        <x:v>可新增项目跟进。</x:v>
      </x:c>
      <x:c r="F96" s="19" t="str">
        <x:v>ProjectFollowUp、content、createdAt</x:v>
      </x:c>
      <x:c r="G96" s="19" t="str">
        <x:v>/projects/:id</x:v>
      </x:c>
      <x:c r="H96" s="19" t="str">
        <x:v>已在前端页面体现</x:v>
      </x:c>
      <x:c r="I96" s="19" t="str">
        <x:v>src/app/pages/ProjectDetail.tsx</x:v>
      </x:c>
    </x:row>
    <x:row r="97">
      <x:c r="A97" s="19" t="str">
        <x:v>项目管理</x:v>
      </x:c>
      <x:c r="B97" s="19" t="str">
        <x:v>项目详情</x:v>
      </x:c>
      <x:c r="C97" s="19" t="str">
        <x:v>交付计划入口</x:v>
      </x:c>
      <x:c r="D97" s="19" t="str">
        <x:v>从项目详情进入项目交付计划。</x:v>
      </x:c>
      <x:c r="E97" s="19" t="str">
        <x:v>与项目总进度联动。</x:v>
      </x:c>
      <x:c r="F97" s="19" t="str">
        <x:v>deliveryPlan、projectId</x:v>
      </x:c>
      <x:c r="G97" s="19" t="str">
        <x:v>/projects/:id/delivery</x:v>
      </x:c>
      <x:c r="H97" s="19" t="str">
        <x:v>已在前端页面体现</x:v>
      </x:c>
      <x:c r="I97" s="19" t="str">
        <x:v>src/app/pages/delivery-plan/DeliveryProgressCard.tsx</x:v>
      </x:c>
    </x:row>
    <x:row r="98">
      <x:c r="A98" s="19" t="str">
        <x:v>项目管理</x:v>
      </x:c>
      <x:c r="B98" s="19" t="str">
        <x:v>项目日志</x:v>
      </x:c>
      <x:c r="C98" s="19" t="str">
        <x:v>项目视图日志</x:v>
      </x:c>
      <x:c r="D98" s="19" t="str">
        <x:v>按项目维度查看日报、字段变化和操作日志。</x:v>
      </x:c>
      <x:c r="E98" s="19" t="str">
        <x:v>支持重置、刷新、导出日志。</x:v>
      </x:c>
      <x:c r="F98" s="19" t="str">
        <x:v>FieldChange、ProjectLog</x:v>
      </x:c>
      <x:c r="G98" s="19" t="str">
        <x:v>/dailyreport/projectlog</x:v>
      </x:c>
      <x:c r="H98" s="19" t="str">
        <x:v>已在日报菜单体现</x:v>
      </x:c>
      <x:c r="I98" s="19" t="str">
        <x:v>src/app/pages/ProjectLogView.tsx</x:v>
      </x:c>
    </x:row>
    <x:row r="99">
      <x:c r="A99" s="19" t="str">
        <x:v>项目管理</x:v>
      </x:c>
      <x:c r="B99" s="19" t="str">
        <x:v>项目成本入口</x:v>
      </x:c>
      <x:c r="C99" s="19" t="str">
        <x:v>项目成本摘要</x:v>
      </x:c>
      <x:c r="D99" s="19" t="str">
        <x:v>项目详情沉淀工时与合同映射，为后续成本核算提供入口。</x:v>
      </x:c>
      <x:c r="E99" s="19" t="str">
        <x:v>完整金额核算在财务项目成本模块实现。</x:v>
      </x:c>
      <x:c r="F99" s="19" t="str">
        <x:v>projectHours、contractAmount</x:v>
      </x:c>
      <x:c r="G99" s="19" t="str">
        <x:v>/projects/:id; /finance/project-cost</x:v>
      </x:c>
      <x:c r="H99" s="19" t="str">
        <x:v>已在前端/设计体现</x:v>
      </x:c>
      <x:c r="I99" s="19" t="str">
        <x:v>docs/superpowers/specs/2026-05-09-project-management-foundation-design.md</x:v>
      </x:c>
    </x:row>
    <x:row r="100">
      <x:c r="A100" s="19" t="str">
        <x:v>项目管理</x:v>
      </x:c>
      <x:c r="B100" s="19" t="str">
        <x:v>项目状态</x:v>
      </x:c>
      <x:c r="C100" s="19" t="str">
        <x:v>项目状态机</x:v>
      </x:c>
      <x:c r="D100" s="19" t="str">
        <x:v>支持未开始、进行中、已完成、验收中、搁置、延迟、催款中等状态。</x:v>
      </x:c>
      <x:c r="E100" s="19" t="str">
        <x:v>状态用于列表筛选、跟进和看板判断。</x:v>
      </x:c>
      <x:c r="F100" s="19" t="str">
        <x:v>ProjectStatus</x:v>
      </x:c>
      <x:c r="G100" s="19" t="str">
        <x:v>/projects</x:v>
      </x:c>
      <x:c r="H100" s="19" t="str">
        <x:v>已在前端/文档体现</x:v>
      </x:c>
      <x:c r="I100" s="19" t="str">
        <x:v>OA需求文档.md; src/app/pages/project-management/mockData.ts</x:v>
      </x:c>
    </x:row>
    <x:row r="101">
      <x:c r="A101" s="19" t="str">
        <x:v>交付计划</x:v>
      </x:c>
      <x:c r="B101" s="19" t="str">
        <x:v>交付计划页</x:v>
      </x:c>
      <x:c r="C101" s="19" t="str">
        <x:v>SOP 阶段模型</x:v>
      </x:c>
      <x:c r="D101" s="19" t="str">
        <x:v>按七大 SOP 阶段组织交付计划。</x:v>
      </x:c>
      <x:c r="E101" s="19" t="str">
        <x:v>采用两级板块步骤模型。</x:v>
      </x:c>
      <x:c r="F101" s="19" t="str">
        <x:v>DeliveryPhase、SopStep</x:v>
      </x:c>
      <x:c r="G101" s="19" t="str">
        <x:v>/projects/:id/delivery</x:v>
      </x:c>
      <x:c r="H101" s="19" t="str">
        <x:v>已在前端页面体现</x:v>
      </x:c>
      <x:c r="I101" s="19" t="str">
        <x:v>docs/adr/0002-两级板块步骤模型而非扁平模型.md</x:v>
      </x:c>
    </x:row>
    <x:row r="102">
      <x:c r="A102" s="19" t="str">
        <x:v>交付计划</x:v>
      </x:c>
      <x:c r="B102" s="19" t="str">
        <x:v>交付计划页</x:v>
      </x:c>
      <x:c r="C102" s="19" t="str">
        <x:v>甘特图</x:v>
      </x:c>
      <x:c r="D102" s="19" t="str">
        <x:v>以自绘甘特图展示阶段、步骤、日期和里程碑。</x:v>
      </x:c>
      <x:c r="E102" s="19" t="str">
        <x:v>不使用第三方甘特图库。</x:v>
      </x:c>
      <x:c r="F102" s="19" t="str">
        <x:v>startDate、endDate、milestones</x:v>
      </x:c>
      <x:c r="G102" s="19" t="str">
        <x:v>/projects/:id/delivery</x:v>
      </x:c>
      <x:c r="H102" s="19" t="str">
        <x:v>已在前端页面体现</x:v>
      </x:c>
      <x:c r="I102" s="19" t="str">
        <x:v>docs/adr/0001-自绘甘特图而非第三方库.md</x:v>
      </x:c>
    </x:row>
    <x:row r="103">
      <x:c r="A103" s="19" t="str">
        <x:v>交付计划</x:v>
      </x:c>
      <x:c r="B103" s="19" t="str">
        <x:v>交付计划页</x:v>
      </x:c>
      <x:c r="C103" s="19" t="str">
        <x:v>任务列表</x:v>
      </x:c>
      <x:c r="D103" s="19" t="str">
        <x:v>按阶段展示步骤列表、状态和进度。</x:v>
      </x:c>
      <x:c r="E103" s="19" t="str">
        <x:v>点击步骤可查看详情。</x:v>
      </x:c>
      <x:c r="F103" s="19" t="str">
        <x:v>TaskList、SopStepStatus</x:v>
      </x:c>
      <x:c r="G103" s="19" t="str">
        <x:v>/projects/:id/delivery</x:v>
      </x:c>
      <x:c r="H103" s="19" t="str">
        <x:v>已在前端页面体现</x:v>
      </x:c>
      <x:c r="I103" s="19" t="str">
        <x:v>src/app/pages/delivery-plan/TaskList.tsx</x:v>
      </x:c>
    </x:row>
    <x:row r="104">
      <x:c r="A104" s="19" t="str">
        <x:v>交付计划</x:v>
      </x:c>
      <x:c r="B104" s="19" t="str">
        <x:v>交付配置</x:v>
      </x:c>
      <x:c r="C104" s="19" t="str">
        <x:v>交付计划配置</x:v>
      </x:c>
      <x:c r="D104" s="19" t="str">
        <x:v>配置项目交付阶段和周期。</x:v>
      </x:c>
      <x:c r="E104" s="19" t="str">
        <x:v>支持按阶段调整时间分布。</x:v>
      </x:c>
      <x:c r="F104" s="19" t="str">
        <x:v>DeliveryConfigModal、phaseRatios</x:v>
      </x:c>
      <x:c r="G104" s="19" t="str">
        <x:v>/projects/:id/delivery</x:v>
      </x:c>
      <x:c r="H104" s="19" t="str">
        <x:v>已在前端页面体现</x:v>
      </x:c>
      <x:c r="I104" s="19" t="str">
        <x:v>src/app/pages/delivery-plan/DeliveryConfigModal.tsx</x:v>
      </x:c>
    </x:row>
    <x:row r="105">
      <x:c r="A105" s="19" t="str">
        <x:v>交付计划</x:v>
      </x:c>
      <x:c r="B105" s="19" t="str">
        <x:v>步骤编辑</x:v>
      </x:c>
      <x:c r="C105" s="19" t="str">
        <x:v>编辑步骤</x:v>
      </x:c>
      <x:c r="D105" s="19" t="str">
        <x:v>修改步骤名称、负责人、日期、状态和说明。</x:v>
      </x:c>
      <x:c r="E105" s="19" t="str">
        <x:v>保存后更新甘特图与任务列表。</x:v>
      </x:c>
      <x:c r="F105" s="19" t="str">
        <x:v>StepEditModal、SopStep</x:v>
      </x:c>
      <x:c r="G105" s="19" t="str">
        <x:v>/projects/:id/delivery</x:v>
      </x:c>
      <x:c r="H105" s="19" t="str">
        <x:v>已在前端页面体现</x:v>
      </x:c>
      <x:c r="I105" s="19" t="str">
        <x:v>src/app/pages/delivery-plan/StepEditModal.tsx</x:v>
      </x:c>
    </x:row>
    <x:row r="106">
      <x:c r="A106" s="19" t="str">
        <x:v>交付计划</x:v>
      </x:c>
      <x:c r="B106" s="19" t="str">
        <x:v>自定义步骤</x:v>
      </x:c>
      <x:c r="C106" s="19" t="str">
        <x:v>新增自定义步骤</x:v>
      </x:c>
      <x:c r="D106" s="19" t="str">
        <x:v>在标准 SOP 之外补充项目个性化步骤。</x:v>
      </x:c>
      <x:c r="E106" s="19" t="str">
        <x:v>用于覆盖非标准交付内容。</x:v>
      </x:c>
      <x:c r="F106" s="19" t="str">
        <x:v>CustomStepModal</x:v>
      </x:c>
      <x:c r="G106" s="19" t="str">
        <x:v>/projects/:id/delivery</x:v>
      </x:c>
      <x:c r="H106" s="19" t="str">
        <x:v>已在前端页面体现</x:v>
      </x:c>
      <x:c r="I106" s="19" t="str">
        <x:v>src/app/pages/delivery-plan/CustomStepModal.tsx</x:v>
      </x:c>
    </x:row>
    <x:row r="107">
      <x:c r="A107" s="19" t="str">
        <x:v>交付计划</x:v>
      </x:c>
      <x:c r="B107" s="19" t="str">
        <x:v>交付计划页</x:v>
      </x:c>
      <x:c r="C107" s="19" t="str">
        <x:v>删除交付计划</x:v>
      </x:c>
      <x:c r="D107" s="19" t="str">
        <x:v>删除当前项目交付计划。</x:v>
      </x:c>
      <x:c r="E107" s="19" t="str">
        <x:v>删除前弹窗确认。</x:v>
      </x:c>
      <x:c r="F107" s="19" t="str">
        <x:v>deliveryPlanId</x:v>
      </x:c>
      <x:c r="G107" s="19" t="str">
        <x:v>/projects/:id/delivery</x:v>
      </x:c>
      <x:c r="H107" s="19" t="str">
        <x:v>已在前端页面体现</x:v>
      </x:c>
      <x:c r="I107" s="19" t="str">
        <x:v>src/app/pages/delivery-plan/DeliveryPlanPage.tsx</x:v>
      </x:c>
    </x:row>
    <x:row r="108">
      <x:c r="A108" s="19" t="str">
        <x:v>交付计划</x:v>
      </x:c>
      <x:c r="B108" s="19" t="str">
        <x:v>交付计划页</x:v>
      </x:c>
      <x:c r="C108" s="19" t="str">
        <x:v>阶段进度计算</x:v>
      </x:c>
      <x:c r="D108" s="19" t="str">
        <x:v>根据步骤完成情况计算阶段和整体进度。</x:v>
      </x:c>
      <x:c r="E108" s="19" t="str">
        <x:v>用于进度卡片与甘特展示。</x:v>
      </x:c>
      <x:c r="F108" s="19" t="str">
        <x:v>phaseProgress、overallProgress</x:v>
      </x:c>
      <x:c r="G108" s="19" t="str">
        <x:v>/projects/:id/delivery</x:v>
      </x:c>
      <x:c r="H108" s="19" t="str">
        <x:v>已在前端代码体现</x:v>
      </x:c>
      <x:c r="I108" s="19" t="str">
        <x:v>src/app/pages/delivery-plan/utils.ts</x:v>
      </x:c>
    </x:row>
    <x:row r="109">
      <x:c r="A109" s="19" t="str">
        <x:v>交付计划</x:v>
      </x:c>
      <x:c r="B109" s="19" t="str">
        <x:v>交付计划页</x:v>
      </x:c>
      <x:c r="C109" s="19" t="str">
        <x:v>延期/风险展示</x:v>
      </x:c>
      <x:c r="D109" s="19" t="str">
        <x:v>识别阶段延期和未完成节点。</x:v>
      </x:c>
      <x:c r="E109" s="19" t="str">
        <x:v>在交付时间卡和任务区域提示风险。</x:v>
      </x:c>
      <x:c r="F109" s="19" t="str">
        <x:v>expectedEndDate、riskLevel</x:v>
      </x:c>
      <x:c r="G109" s="19" t="str">
        <x:v>/projects/:id/delivery</x:v>
      </x:c>
      <x:c r="H109" s="19" t="str">
        <x:v>已在前端/设计体现</x:v>
      </x:c>
      <x:c r="I109" s="19" t="str">
        <x:v>docs/superpowers/specs/2026-06-13-project-detail-summary-redesign-design.md</x:v>
      </x:c>
    </x:row>
    <x:row r="110">
      <x:c r="A110" s="19" t="str">
        <x:v>交付计划</x:v>
      </x:c>
      <x:c r="B110" s="19" t="str">
        <x:v>交付计划页</x:v>
      </x:c>
      <x:c r="C110" s="19" t="str">
        <x:v>滚动同步</x:v>
      </x:c>
      <x:c r="D110" s="19" t="str">
        <x:v>任务列表与甘特图滚动区域同步。</x:v>
      </x:c>
      <x:c r="E110" s="19" t="str">
        <x:v>提升长计划查看体验。</x:v>
      </x:c>
      <x:c r="F110" s="19" t="str">
        <x:v>listScrollRef、ganttScrollRef</x:v>
      </x:c>
      <x:c r="G110" s="19" t="str">
        <x:v>/projects/:id/delivery</x:v>
      </x:c>
      <x:c r="H110" s="19" t="str">
        <x:v>已在前端代码体现</x:v>
      </x:c>
      <x:c r="I110" s="19" t="str">
        <x:v>src/app/pages/delivery-plan/DeliveryPlanPage.tsx</x:v>
      </x:c>
    </x:row>
    <x:row r="111">
      <x:c r="A111" s="19" t="str">
        <x:v>日报</x:v>
      </x:c>
      <x:c r="B111" s="19" t="str">
        <x:v>日报列表</x:v>
      </x:c>
      <x:c r="C111" s="19" t="str">
        <x:v>日报列表查询</x:v>
      </x:c>
      <x:c r="D111" s="19" t="str">
        <x:v>按员工、日期、角色等条件查询日报。</x:v>
      </x:c>
      <x:c r="E111" s="19" t="str">
        <x:v>支持搜索、重置、查看详情。</x:v>
      </x:c>
      <x:c r="F111" s="19" t="str">
        <x:v>DailyReport、date、author、role</x:v>
      </x:c>
      <x:c r="G111" s="19" t="str">
        <x:v>/dailyreport/list</x:v>
      </x:c>
      <x:c r="H111" s="19" t="str">
        <x:v>已在前端菜单/页面体现</x:v>
      </x:c>
      <x:c r="I111" s="19" t="str">
        <x:v>src/app/pages/DailyReportList.tsx</x:v>
      </x:c>
    </x:row>
    <x:row r="112">
      <x:c r="A112" s="19" t="str">
        <x:v>日报</x:v>
      </x:c>
      <x:c r="B112" s="19" t="str">
        <x:v>日报列表</x:v>
      </x:c>
      <x:c r="C112" s="19" t="str">
        <x:v>新建日报入口</x:v>
      </x:c>
      <x:c r="D112" s="19" t="str">
        <x:v>日报列表提供新增日报按钮。</x:v>
      </x:c>
      <x:c r="E112" s="19" t="str">
        <x:v>实际填写弹窗由全局入口复用。</x:v>
      </x:c>
      <x:c r="F112" s="19" t="str">
        <x:v>DailyReportModal</x:v>
      </x:c>
      <x:c r="G112" s="19" t="str">
        <x:v>/dailyreport/list</x:v>
      </x:c>
      <x:c r="H112" s="19" t="str">
        <x:v>已在前端页面体现</x:v>
      </x:c>
      <x:c r="I112" s="19" t="str">
        <x:v>src/app/pages/DailyReportList.tsx</x:v>
      </x:c>
    </x:row>
    <x:row r="113">
      <x:c r="A113" s="19" t="str">
        <x:v>日报</x:v>
      </x:c>
      <x:c r="B113" s="19" t="str">
        <x:v>日报视图</x:v>
      </x:c>
      <x:c r="C113" s="19" t="str">
        <x:v>组织架构查看日报</x:v>
      </x:c>
      <x:c r="D113" s="19" t="str">
        <x:v>按组织架构树选择员工并查看日报历史。</x:v>
      </x:c>
      <x:c r="E113" s="19" t="str">
        <x:v>适合管理者按人查看日报。</x:v>
      </x:c>
      <x:c r="F113" s="19" t="str">
        <x:v>departmentTree、employeeReports</x:v>
      </x:c>
      <x:c r="G113" s="19" t="str">
        <x:v>/dailyreport/view</x:v>
      </x:c>
      <x:c r="H113" s="19" t="str">
        <x:v>已在前端菜单/页面体现</x:v>
      </x:c>
      <x:c r="I113" s="19" t="str">
        <x:v>src/app/pages/DailyReportView.tsx</x:v>
      </x:c>
    </x:row>
    <x:row r="114">
      <x:c r="A114" s="19" t="str">
        <x:v>日报</x:v>
      </x:c>
      <x:c r="B114" s="19" t="str">
        <x:v>项目视图</x:v>
      </x:c>
      <x:c r="C114" s="19" t="str">
        <x:v>项目日志视图</x:v>
      </x:c>
      <x:c r="D114" s="19" t="str">
        <x:v>按项目查看日报与变更日志。</x:v>
      </x:c>
      <x:c r="E114" s="19" t="str">
        <x:v>支持筛选、刷新、导出。</x:v>
      </x:c>
      <x:c r="F114" s="19" t="str">
        <x:v>ProjectLog、FieldChange</x:v>
      </x:c>
      <x:c r="G114" s="19" t="str">
        <x:v>/dailyreport/projectlog</x:v>
      </x:c>
      <x:c r="H114" s="19" t="str">
        <x:v>已在前端菜单/页面体现</x:v>
      </x:c>
      <x:c r="I114" s="19" t="str">
        <x:v>src/app/pages/ProjectLogView.tsx</x:v>
      </x:c>
    </x:row>
    <x:row r="115">
      <x:c r="A115" s="19" t="str">
        <x:v>日报</x:v>
      </x:c>
      <x:c r="B115" s="19" t="str">
        <x:v>填写日报</x:v>
      </x:c>
      <x:c r="C115" s="19" t="str">
        <x:v>角色选择</x:v>
      </x:c>
      <x:c r="D115" s="19" t="str">
        <x:v>填写日报前选择销售、通用、投放或开发角色。</x:v>
      </x:c>
      <x:c r="E115" s="19" t="str">
        <x:v>角色决定模板结构。</x:v>
      </x:c>
      <x:c r="F115" s="19" t="str">
        <x:v>role、templateMeta</x:v>
      </x:c>
      <x:c r="G115" s="19" t="str">
        <x:v>顶部栏</x:v>
      </x:c>
      <x:c r="H115" s="19" t="str">
        <x:v>已在前端页面体现</x:v>
      </x:c>
      <x:c r="I115" s="19" t="str">
        <x:v>src/app/pages/daily-report/RoleSelectModal.tsx</x:v>
      </x:c>
    </x:row>
    <x:row r="116">
      <x:c r="A116" s="19" t="str">
        <x:v>日报</x:v>
      </x:c>
      <x:c r="B116" s="19" t="str">
        <x:v>填写日报</x:v>
      </x:c>
      <x:c r="C116" s="19" t="str">
        <x:v>销售日报模板</x:v>
      </x:c>
      <x:c r="D116" s="19" t="str">
        <x:v>销售日报包含线索跟进情况、需协助事项、明日计划。</x:v>
      </x:c>
      <x:c r="E116" s="19" t="str">
        <x:v>线索跟进情况可自动载入当天跟进并允许编辑。</x:v>
      </x:c>
      <x:c r="F116" s="19" t="str">
        <x:v>salesFollowups、helpNeeded、tomorrowPlan</x:v>
      </x:c>
      <x:c r="G116" s="19" t="str">
        <x:v>日报弹窗</x:v>
      </x:c>
      <x:c r="H116" s="19" t="str">
        <x:v>已在前端/设计体现</x:v>
      </x:c>
      <x:c r="I116" s="19" t="str">
        <x:v>docs/superpowers/specs/2026-05-14-daily-report-template-design.md</x:v>
      </x:c>
    </x:row>
    <x:row r="117">
      <x:c r="A117" s="19" t="str">
        <x:v>日报</x:v>
      </x:c>
      <x:c r="B117" s="19" t="str">
        <x:v>填写日报</x:v>
      </x:c>
      <x:c r="C117" s="19" t="str">
        <x:v>通用日报模板</x:v>
      </x:c>
      <x:c r="D117" s="19" t="str">
        <x:v>通用日报记录工作种类、项目任务、问题、明日计划。</x:v>
      </x:c>
      <x:c r="E117" s="19" t="str">
        <x:v>任务行包含项目、工时、工作内容。</x:v>
      </x:c>
      <x:c r="F117" s="19" t="str">
        <x:v>workType、projectTasks、hours</x:v>
      </x:c>
      <x:c r="G117" s="19" t="str">
        <x:v>日报弹窗</x:v>
      </x:c>
      <x:c r="H117" s="19" t="str">
        <x:v>已在前端页面体现</x:v>
      </x:c>
      <x:c r="I117" s="19" t="str">
        <x:v>src/app/pages/daily-report/GeneralDailyTemplate.tsx</x:v>
      </x:c>
    </x:row>
    <x:row r="118">
      <x:c r="A118" s="19" t="str">
        <x:v>日报</x:v>
      </x:c>
      <x:c r="B118" s="19" t="str">
        <x:v>填写日报</x:v>
      </x:c>
      <x:c r="C118" s="19" t="str">
        <x:v>投放日报模板</x:v>
      </x:c>
      <x:c r="D118" s="19" t="str">
        <x:v>投放日报记录平台、账户、消耗、展示、点击、线索和优化动作。</x:v>
      </x:c>
      <x:c r="E118" s="19" t="str">
        <x:v>可添加多个平台行。</x:v>
      </x:c>
      <x:c r="F118" s="19" t="str">
        <x:v>AdDeliveryRow、spend、impressions、clicks</x:v>
      </x:c>
      <x:c r="G118" s="19" t="str">
        <x:v>日报弹窗</x:v>
      </x:c>
      <x:c r="H118" s="19" t="str">
        <x:v>已在前端页面体现</x:v>
      </x:c>
      <x:c r="I118" s="19" t="str">
        <x:v>src/app/pages/daily-report/AdDeliveryDailyTemplate.tsx</x:v>
      </x:c>
    </x:row>
    <x:row r="119">
      <x:c r="A119" s="19" t="str">
        <x:v>日报</x:v>
      </x:c>
      <x:c r="B119" s="19" t="str">
        <x:v>填写日报</x:v>
      </x:c>
      <x:c r="C119" s="19" t="str">
        <x:v>开发日报模板</x:v>
      </x:c>
      <x:c r="D119" s="19" t="str">
        <x:v>开发日报记录主要工种、项目任务、代码进展、问题和明日计划。</x:v>
      </x:c>
      <x:c r="E119" s="19" t="str">
        <x:v>项目任务支持多行录入。</x:v>
      </x:c>
      <x:c r="F119" s="19" t="str">
        <x:v>DevTask、codeProgress、issues</x:v>
      </x:c>
      <x:c r="G119" s="19" t="str">
        <x:v>日报弹窗</x:v>
      </x:c>
      <x:c r="H119" s="19" t="str">
        <x:v>已在前端页面体现</x:v>
      </x:c>
      <x:c r="I119" s="19" t="str">
        <x:v>src/app/pages/daily-report/DevDailyTemplate.tsx</x:v>
      </x:c>
    </x:row>
    <x:row r="120">
      <x:c r="A120" s="19" t="str">
        <x:v>日报</x:v>
      </x:c>
      <x:c r="B120" s="19" t="str">
        <x:v>日报提交</x:v>
      </x:c>
      <x:c r="C120" s="19" t="str">
        <x:v>必填校验</x:v>
      </x:c>
      <x:c r="D120" s="19" t="str">
        <x:v>提交日报前校验日期、计划和模板必填项。</x:v>
      </x:c>
      <x:c r="E120" s="19" t="str">
        <x:v>缺失时用 Arco Message 提示。</x:v>
      </x:c>
      <x:c r="F120" s="19" t="str">
        <x:v>DailyReportContent、requiredFields</x:v>
      </x:c>
      <x:c r="G120" s="19" t="str">
        <x:v>日报弹窗</x:v>
      </x:c>
      <x:c r="H120" s="19" t="str">
        <x:v>已在前端代码体现</x:v>
      </x:c>
      <x:c r="I120" s="19" t="str">
        <x:v>src/app/pages/daily-report/DailyReportModal.tsx</x:v>
      </x:c>
    </x:row>
    <x:row r="121">
      <x:c r="A121" s="19" t="str">
        <x:v>日报</x:v>
      </x:c>
      <x:c r="B121" s="19" t="str">
        <x:v>日报提醒</x:v>
      </x:c>
      <x:c r="C121" s="19" t="str">
        <x:v>18:00 未提交提醒</x:v>
      </x:c>
      <x:c r="D121" s="19" t="str">
        <x:v>销售当日未提交日报时在顶部/提醒系统中提示。</x:v>
      </x:c>
      <x:c r="E121" s="19" t="str">
        <x:v>提交日报后提醒自动消失。</x:v>
      </x:c>
      <x:c r="F121" s="19" t="str">
        <x:v>dailyReports、currentDate、submitted</x:v>
      </x:c>
      <x:c r="G121" s="19" t="str">
        <x:v>顶部栏; 提醒</x:v>
      </x:c>
      <x:c r="H121" s="19" t="str">
        <x:v>已在提醒系统体现</x:v>
      </x:c>
      <x:c r="I121" s="19" t="str">
        <x:v>src/app/reminders/adapters/getDailyReportReminders.ts</x:v>
      </x:c>
    </x:row>
    <x:row r="122">
      <x:c r="A122" s="19" t="str">
        <x:v>日报</x:v>
      </x:c>
      <x:c r="B122" s="19" t="str">
        <x:v>日报评论</x:v>
      </x:c>
      <x:c r="C122" s="19" t="str">
        <x:v>日报评论与未读提示</x:v>
      </x:c>
      <x:c r="D122" s="19" t="str">
        <x:v>日报详情支持评论，评论未读可触发提醒。</x:v>
      </x:c>
      <x:c r="E122" s="19" t="str">
        <x:v>第一期按 mock 活跃提醒处理。</x:v>
      </x:c>
      <x:c r="F122" s="19" t="str">
        <x:v>DailyReportComment、readBy、mentionedUsers</x:v>
      </x:c>
      <x:c r="G122" s="19" t="str">
        <x:v>日报详情</x:v>
      </x:c>
      <x:c r="H122" s="19" t="str">
        <x:v>设计文档提及</x:v>
      </x:c>
      <x:c r="I122" s="19" t="str">
        <x:v>docs/superpowers/specs/2026-05-14-daily-report-template-design.md</x:v>
      </x:c>
    </x:row>
    <x:row r="123">
      <x:c r="A123" s="19" t="str">
        <x:v>日报</x:v>
      </x:c>
      <x:c r="B123" s="19" t="str">
        <x:v>能力联动</x:v>
      </x:c>
      <x:c r="C123" s="19" t="str">
        <x:v>工作种类映射能力维度</x:v>
      </x:c>
      <x:c r="D123" s="19" t="str">
        <x:v>日报中的工作种类可映射到员工能力经验。</x:v>
      </x:c>
      <x:c r="E123" s="19" t="str">
        <x:v>用于员工能力建模日常经验来源。</x:v>
      </x:c>
      <x:c r="F123" s="19" t="str">
        <x:v>workType、abilityDimension、XP</x:v>
      </x:c>
      <x:c r="G123" s="19" t="str">
        <x:v>日报 -&gt; 员工能力</x:v>
      </x:c>
      <x:c r="H123" s="19" t="str">
        <x:v>规划提及</x:v>
      </x:c>
      <x:c r="I123" s="19" t="str">
        <x:v>docs/superpowers/specs/2026-06-30-employee-capability-modeling-design.md</x:v>
      </x:c>
    </x:row>
    <x:row r="124">
      <x:c r="A124" s="19" t="str">
        <x:v>财务管理</x:v>
      </x:c>
      <x:c r="B124" s="19" t="str">
        <x:v>财务统计</x:v>
      </x:c>
      <x:c r="C124" s="19" t="str">
        <x:v>合同统计</x:v>
      </x:c>
      <x:c r="D124" s="19" t="str">
        <x:v>按合同查看合同总额、到账金额、待收款和成本。</x:v>
      </x:c>
      <x:c r="E124" s="19" t="str">
        <x:v>点击合同可进入合同成本详情。</x:v>
      </x:c>
      <x:c r="F124" s="19" t="str">
        <x:v>contractAmount、received、pending、cost</x:v>
      </x:c>
      <x:c r="G124" s="19" t="str">
        <x:v>/finance/dashboard</x:v>
      </x:c>
      <x:c r="H124" s="19" t="str">
        <x:v>已在前端菜单/页面体现</x:v>
      </x:c>
      <x:c r="I124" s="19" t="str">
        <x:v>src/app/pages/FinancialDashboard.tsx</x:v>
      </x:c>
    </x:row>
    <x:row r="125">
      <x:c r="A125" s="19" t="str">
        <x:v>财务管理</x:v>
      </x:c>
      <x:c r="B125" s="19" t="str">
        <x:v>财务统计</x:v>
      </x:c>
      <x:c r="C125" s="19" t="str">
        <x:v>运营成本</x:v>
      </x:c>
      <x:c r="D125" s="19" t="str">
        <x:v>维护房租、水电、网络等运营费用。</x:v>
      </x:c>
      <x:c r="E125" s="19" t="str">
        <x:v>支持录入、编辑、删除和导出报表。</x:v>
      </x:c>
      <x:c r="F125" s="19" t="str">
        <x:v>operationExpense、month、category、amount</x:v>
      </x:c>
      <x:c r="G125" s="19" t="str">
        <x:v>/finance/dashboard</x:v>
      </x:c>
      <x:c r="H125" s="19" t="str">
        <x:v>已在前端页面体现</x:v>
      </x:c>
      <x:c r="I125" s="19" t="str">
        <x:v>src/app/pages/FinancialDashboard.tsx</x:v>
      </x:c>
    </x:row>
    <x:row r="126">
      <x:c r="A126" s="19" t="str">
        <x:v>财务管理</x:v>
      </x:c>
      <x:c r="B126" s="19" t="str">
        <x:v>财务统计</x:v>
      </x:c>
      <x:c r="C126" s="19" t="str">
        <x:v>支出分布</x:v>
      </x:c>
      <x:c r="D126" s="19" t="str">
        <x:v>按运营费用类别展示支出分布。</x:v>
      </x:c>
      <x:c r="E126" s="19" t="str">
        <x:v>用于识别费用结构。</x:v>
      </x:c>
      <x:c r="F126" s="19" t="str">
        <x:v>category、amount、ratio</x:v>
      </x:c>
      <x:c r="G126" s="19" t="str">
        <x:v>/finance/dashboard</x:v>
      </x:c>
      <x:c r="H126" s="19" t="str">
        <x:v>已在前端页面体现</x:v>
      </x:c>
      <x:c r="I126" s="19" t="str">
        <x:v>src/app/pages/FinancialDashboard.tsx</x:v>
      </x:c>
    </x:row>
    <x:row r="127">
      <x:c r="A127" s="19" t="str">
        <x:v>财务管理</x:v>
      </x:c>
      <x:c r="B127" s="19" t="str">
        <x:v>财务统计</x:v>
      </x:c>
      <x:c r="C127" s="19" t="str">
        <x:v>月度支出趋势</x:v>
      </x:c>
      <x:c r="D127" s="19" t="str">
        <x:v>展示运营费用月度变化趋势。</x:v>
      </x:c>
      <x:c r="E127" s="19" t="str">
        <x:v>用于管理层查看成本走势。</x:v>
      </x:c>
      <x:c r="F127" s="19" t="str">
        <x:v>month、expenseAmount</x:v>
      </x:c>
      <x:c r="G127" s="19" t="str">
        <x:v>/finance/dashboard</x:v>
      </x:c>
      <x:c r="H127" s="19" t="str">
        <x:v>已在前端页面体现</x:v>
      </x:c>
      <x:c r="I127" s="19" t="str">
        <x:v>src/app/pages/FinancialDashboard.tsx</x:v>
      </x:c>
    </x:row>
    <x:row r="128">
      <x:c r="A128" s="19" t="str">
        <x:v>财务管理</x:v>
      </x:c>
      <x:c r="B128" s="19" t="str">
        <x:v>工资表</x:v>
      </x:c>
      <x:c r="C128" s="19" t="str">
        <x:v>工资数字权限</x:v>
      </x:c>
      <x:c r="D128" s="19" t="str">
        <x:v>工资表中工资数字按权限显示或打码。</x:v>
      </x:c>
      <x:c r="E128" s="19" t="str">
        <x:v>只有财务和人事可见工资数字。</x:v>
      </x:c>
      <x:c r="F128" s="19" t="str">
        <x:v>salaryView、salaryAmount</x:v>
      </x:c>
      <x:c r="G128" s="19" t="str">
        <x:v>/finance/salary</x:v>
      </x:c>
      <x:c r="H128" s="19" t="str">
        <x:v>已在前端页面体现</x:v>
      </x:c>
      <x:c r="I128" s="19" t="str">
        <x:v>src/app/pages/contract-cost/SalaryPage.tsx</x:v>
      </x:c>
    </x:row>
    <x:row r="129">
      <x:c r="A129" s="19" t="str">
        <x:v>财务管理</x:v>
      </x:c>
      <x:c r="B129" s="19" t="str">
        <x:v>工资表</x:v>
      </x:c>
      <x:c r="C129" s="19" t="str">
        <x:v>导入工资</x:v>
      </x:c>
      <x:c r="D129" s="19" t="str">
        <x:v>人事或财务在月初导入上月员工工资。</x:v>
      </x:c>
      <x:c r="E129" s="19" t="str">
        <x:v>未更新则沿用上月金额。</x:v>
      </x:c>
      <x:c r="F129" s="19" t="str">
        <x:v>salaryImportFile、month</x:v>
      </x:c>
      <x:c r="G129" s="19" t="str">
        <x:v>/finance/salary</x:v>
      </x:c>
      <x:c r="H129" s="19" t="str">
        <x:v>已在前端/需求体现</x:v>
      </x:c>
      <x:c r="I129" s="19" t="str">
        <x:v>原始需求池.md; src/app/pages/contract-cost/SalaryPage.tsx</x:v>
      </x:c>
    </x:row>
    <x:row r="130">
      <x:c r="A130" s="19" t="str">
        <x:v>财务管理</x:v>
      </x:c>
      <x:c r="B130" s="19" t="str">
        <x:v>工资表</x:v>
      </x:c>
      <x:c r="C130" s="19" t="str">
        <x:v>导入实际工时</x:v>
      </x:c>
      <x:c r="D130" s="19" t="str">
        <x:v>月初导入员工实际工时，修正项目成本核算。</x:v>
      </x:c>
      <x:c r="E130" s="19" t="str">
        <x:v>实际工时更新后按真实金额统计。</x:v>
      </x:c>
      <x:c r="F130" s="19" t="str">
        <x:v>actualHoursImport、employeeId</x:v>
      </x:c>
      <x:c r="G130" s="19" t="str">
        <x:v>/finance/salary</x:v>
      </x:c>
      <x:c r="H130" s="19" t="str">
        <x:v>已在前端/需求体现</x:v>
      </x:c>
      <x:c r="I130" s="19" t="str">
        <x:v>原始需求池.md; src/app/pages/contract-cost/SalaryPage.tsx</x:v>
      </x:c>
    </x:row>
    <x:row r="131">
      <x:c r="A131" s="19" t="str">
        <x:v>财务管理</x:v>
      </x:c>
      <x:c r="B131" s="19" t="str">
        <x:v>项目成本核算</x:v>
      </x:c>
      <x:c r="C131" s="19" t="str">
        <x:v>项目成本总览</x:v>
      </x:c>
      <x:c r="D131" s="19" t="str">
        <x:v>按项目汇总合同额、研发成本、报销成本、总成本、利润和利润率。</x:v>
      </x:c>
      <x:c r="E131" s="19" t="str">
        <x:v>支持识别预警项目。</x:v>
      </x:c>
      <x:c r="F131" s="19" t="str">
        <x:v>ProjectCostRow、profit、margin</x:v>
      </x:c>
      <x:c r="G131" s="19" t="str">
        <x:v>/finance/project-cost</x:v>
      </x:c>
      <x:c r="H131" s="19" t="str">
        <x:v>已在前端菜单/页面体现</x:v>
      </x:c>
      <x:c r="I131" s="19" t="str">
        <x:v>src/app/pages/contract-cost/ProjectCostAccounting.tsx</x:v>
      </x:c>
    </x:row>
    <x:row r="132">
      <x:c r="A132" s="19" t="str">
        <x:v>财务管理</x:v>
      </x:c>
      <x:c r="B132" s="19" t="str">
        <x:v>项目成本核算</x:v>
      </x:c>
      <x:c r="C132" s="19" t="str">
        <x:v>研发成本明细</x:v>
      </x:c>
      <x:c r="D132" s="19" t="str">
        <x:v>按项目人员工时和职级时薪计算研发成本。</x:v>
      </x:c>
      <x:c r="E132" s="19" t="str">
        <x:v>人力成本 = 工时 × 标准时薪。</x:v>
      </x:c>
      <x:c r="F132" s="19" t="str">
        <x:v>memberHours、levelRate、rdCost</x:v>
      </x:c>
      <x:c r="G132" s="19" t="str">
        <x:v>/finance/project-cost</x:v>
      </x:c>
      <x:c r="H132" s="19" t="str">
        <x:v>已在前端页面体现</x:v>
      </x:c>
      <x:c r="I132" s="19" t="str">
        <x:v>src/app/pages/contract-cost/ProjectCostAccounting.tsx</x:v>
      </x:c>
    </x:row>
    <x:row r="133">
      <x:c r="A133" s="19" t="str">
        <x:v>财务管理</x:v>
      </x:c>
      <x:c r="B133" s="19" t="str">
        <x:v>合同成本详情</x:v>
      </x:c>
      <x:c r="C133" s="19" t="str">
        <x:v>科研成本</x:v>
      </x:c>
      <x:c r="D133" s="19" t="str">
        <x:v>展示合同关联项目中的研发人员投入和薪资成本。</x:v>
      </x:c>
      <x:c r="E133" s="19" t="str">
        <x:v>从项目日报工时汇总。</x:v>
      </x:c>
      <x:c r="F133" s="19" t="str">
        <x:v>RDCostDetail、hours、salary</x:v>
      </x:c>
      <x:c r="G133" s="19" t="str">
        <x:v>/finance/contract-cost/:contractId</x:v>
      </x:c>
      <x:c r="H133" s="19" t="str">
        <x:v>已在前端页面体现</x:v>
      </x:c>
      <x:c r="I133" s="19" t="str">
        <x:v>src/app/pages/contract-cost/ContractCostDetail.tsx</x:v>
      </x:c>
    </x:row>
    <x:row r="134">
      <x:c r="A134" s="19" t="str">
        <x:v>财务管理</x:v>
      </x:c>
      <x:c r="B134" s="19" t="str">
        <x:v>合同成本详情</x:v>
      </x:c>
      <x:c r="C134" s="19" t="str">
        <x:v>商务成本</x:v>
      </x:c>
      <x:c r="D134" s="19" t="str">
        <x:v>统计销售跟进线索阶段产生的交通、差旅、招待等费用。</x:v>
      </x:c>
      <x:c r="E134" s="19" t="str">
        <x:v>作为合同成本的一部分。</x:v>
      </x:c>
      <x:c r="F134" s="19" t="str">
        <x:v>BusinessCostRecord、expenseType</x:v>
      </x:c>
      <x:c r="G134" s="19" t="str">
        <x:v>/finance/contract-cost/:contractId</x:v>
      </x:c>
      <x:c r="H134" s="19" t="str">
        <x:v>已在前端/需求体现</x:v>
      </x:c>
      <x:c r="I134" s="19" t="str">
        <x:v>原始需求池.md; src/app/pages/contract-cost/ContractCostDetail.tsx</x:v>
      </x:c>
    </x:row>
    <x:row r="135">
      <x:c r="A135" s="19" t="str">
        <x:v>财务管理</x:v>
      </x:c>
      <x:c r="B135" s="19" t="str">
        <x:v>合同成本详情</x:v>
      </x:c>
      <x:c r="C135" s="19" t="str">
        <x:v>外包成本</x:v>
      </x:c>
      <x:c r="D135" s="19" t="str">
        <x:v>统计项目转包给第三方产生的费用。</x:v>
      </x:c>
      <x:c r="E135" s="19" t="str">
        <x:v>关联供应商或外包记录。</x:v>
      </x:c>
      <x:c r="F135" s="19" t="str">
        <x:v>OutsourceCostRecord、supplier、amount</x:v>
      </x:c>
      <x:c r="G135" s="19" t="str">
        <x:v>/finance/contract-cost/:contractId</x:v>
      </x:c>
      <x:c r="H135" s="19" t="str">
        <x:v>已在前端/需求体现</x:v>
      </x:c>
      <x:c r="I135" s="19" t="str">
        <x:v>原始需求池.md; src/app/pages/contract-cost/ContractCostDetail.tsx</x:v>
      </x:c>
    </x:row>
    <x:row r="136">
      <x:c r="A136" s="19" t="str">
        <x:v>财务管理</x:v>
      </x:c>
      <x:c r="B136" s="19" t="str">
        <x:v>合同成本详情</x:v>
      </x:c>
      <x:c r="C136" s="19" t="str">
        <x:v>其他成本</x:v>
      </x:c>
      <x:c r="D136" s="19" t="str">
        <x:v>统计无法归入研发、商务、外包的费用。</x:v>
      </x:c>
      <x:c r="E136" s="19" t="str">
        <x:v>作为合同总成本补充项。</x:v>
      </x:c>
      <x:c r="F136" s="19" t="str">
        <x:v>OtherCostRecord、amount、remark</x:v>
      </x:c>
      <x:c r="G136" s="19" t="str">
        <x:v>/finance/contract-cost/:contractId</x:v>
      </x:c>
      <x:c r="H136" s="19" t="str">
        <x:v>已在前端页面体现</x:v>
      </x:c>
      <x:c r="I136" s="19" t="str">
        <x:v>src/app/pages/contract-cost/ContractCostDetail.tsx</x:v>
      </x:c>
    </x:row>
    <x:row r="137">
      <x:c r="A137" s="19" t="str">
        <x:v>财务管理</x:v>
      </x:c>
      <x:c r="B137" s="19" t="str">
        <x:v>合同成本详情</x:v>
      </x:c>
      <x:c r="C137" s="19" t="str">
        <x:v>分摊运营成本</x:v>
      </x:c>
      <x:c r="D137" s="19" t="str">
        <x:v>将公司月度运营费用按员工工时分摊到合同。</x:v>
      </x:c>
      <x:c r="E137" s="19" t="str">
        <x:v>运营成本 = 月度总费用 / 在职员工可用工时 × 项目投入工时。</x:v>
      </x:c>
      <x:c r="F137" s="19" t="str">
        <x:v>OpCostDetail、monthlyOpCost、allocatedCost</x:v>
      </x:c>
      <x:c r="G137" s="19" t="str">
        <x:v>/finance/contract-cost/:contractId</x:v>
      </x:c>
      <x:c r="H137" s="19" t="str">
        <x:v>已在前端/需求体现</x:v>
      </x:c>
      <x:c r="I137" s="19" t="str">
        <x:v>原始需求池.md; src/app/pages/contract-cost/ContractCostDetail.tsx</x:v>
      </x:c>
    </x:row>
    <x:row r="138">
      <x:c r="A138" s="19" t="str">
        <x:v>财务管理</x:v>
      </x:c>
      <x:c r="B138" s="19" t="str">
        <x:v>报价管理</x:v>
      </x:c>
      <x:c r="C138" s="19" t="str">
        <x:v>报价列表</x:v>
      </x:c>
      <x:c r="D138" s="19" t="str">
        <x:v>管理销售报价单。</x:v>
      </x:c>
      <x:c r="E138" s="19" t="str">
        <x:v>支持查询、查看详情、新增入口和审批操作。</x:v>
      </x:c>
      <x:c r="F138" s="19" t="str">
        <x:v>quoteNo、customer、amount、approvalStatus</x:v>
      </x:c>
      <x:c r="G138" s="19" t="str">
        <x:v>/quotation</x:v>
      </x:c>
      <x:c r="H138" s="19" t="str">
        <x:v>已在前端菜单/页面体现</x:v>
      </x:c>
      <x:c r="I138" s="19" t="str">
        <x:v>src/app/pages/QuotationList.tsx</x:v>
      </x:c>
    </x:row>
    <x:row r="139">
      <x:c r="A139" s="19" t="str">
        <x:v>财务管理</x:v>
      </x:c>
      <x:c r="B139" s="19" t="str">
        <x:v>出差申请</x:v>
      </x:c>
      <x:c r="C139" s="19" t="str">
        <x:v>出差申请列表</x:v>
      </x:c>
      <x:c r="D139" s="19" t="str">
        <x:v>管理员工出差申请。</x:v>
      </x:c>
      <x:c r="E139" s="19" t="str">
        <x:v>支持搜索、查看详情、审批通过/不通过。</x:v>
      </x:c>
      <x:c r="F139" s="19" t="str">
        <x:v>tripNo、applicant、date、budget、status</x:v>
      </x:c>
      <x:c r="G139" s="19" t="str">
        <x:v>/businesstrip</x:v>
      </x:c>
      <x:c r="H139" s="19" t="str">
        <x:v>已在前端菜单/页面体现</x:v>
      </x:c>
      <x:c r="I139" s="19" t="str">
        <x:v>src/app/pages/BusinessTripList.tsx</x:v>
      </x:c>
    </x:row>
    <x:row r="140">
      <x:c r="A140" s="19" t="str">
        <x:v>财务管理</x:v>
      </x:c>
      <x:c r="B140" s="19" t="str">
        <x:v>报销申请</x:v>
      </x:c>
      <x:c r="C140" s="19" t="str">
        <x:v>报销申请列表</x:v>
      </x:c>
      <x:c r="D140" s="19" t="str">
        <x:v>管理员工报销申请和费用明细。</x:v>
      </x:c>
      <x:c r="E140" s="19" t="str">
        <x:v>支持查看详情、费用明细汇总、审批。</x:v>
      </x:c>
      <x:c r="F140" s="19" t="str">
        <x:v>expenseItems、amount、invoice、status</x:v>
      </x:c>
      <x:c r="G140" s="19" t="str">
        <x:v>/reimbursement</x:v>
      </x:c>
      <x:c r="H140" s="19" t="str">
        <x:v>已在前端菜单/页面体现</x:v>
      </x:c>
      <x:c r="I140" s="19" t="str">
        <x:v>src/app/pages/ReimbursementList.tsx</x:v>
      </x:c>
    </x:row>
    <x:row r="141">
      <x:c r="A141" s="19" t="str">
        <x:v>财务管理</x:v>
      </x:c>
      <x:c r="B141" s="19" t="str">
        <x:v>回款与发票</x:v>
      </x:c>
      <x:c r="C141" s="19" t="str">
        <x:v>回款发票列表</x:v>
      </x:c>
      <x:c r="D141" s="19" t="str">
        <x:v>统一查看合同回款、发票和收款进度。</x:v>
      </x:c>
      <x:c r="E141" s="19" t="str">
        <x:v>支持搜索、查看详情。</x:v>
      </x:c>
      <x:c r="F141" s="19" t="str">
        <x:v>paymentRecords、invoiceRecords、progress</x:v>
      </x:c>
      <x:c r="G141" s="19" t="str">
        <x:v>/paymentinvoice</x:v>
      </x:c>
      <x:c r="H141" s="19" t="str">
        <x:v>已在前端菜单/页面体现</x:v>
      </x:c>
      <x:c r="I141" s="19" t="str">
        <x:v>src/app/pages/PaymentInvoiceList.tsx</x:v>
      </x:c>
    </x:row>
    <x:row r="142">
      <x:c r="A142" s="19" t="str">
        <x:v>财务管理</x:v>
      </x:c>
      <x:c r="B142" s="19" t="str">
        <x:v>合同记录</x:v>
      </x:c>
      <x:c r="C142" s="19" t="str">
        <x:v>合同记录列表</x:v>
      </x:c>
      <x:c r="D142" s="19" t="str">
        <x:v>查看合同归档记录与详情。</x:v>
      </x:c>
      <x:c r="E142" s="19" t="str">
        <x:v>支持查询和详情查看。</x:v>
      </x:c>
      <x:c r="F142" s="19" t="str">
        <x:v>contractRecord、archiveStatus</x:v>
      </x:c>
      <x:c r="G142" s="19" t="str">
        <x:v>/contractrecord</x:v>
      </x:c>
      <x:c r="H142" s="19" t="str">
        <x:v>已在路由页面体现</x:v>
      </x:c>
      <x:c r="I142" s="19" t="str">
        <x:v>src/app/pages/ContractRecordList.tsx</x:v>
      </x:c>
    </x:row>
    <x:row r="143">
      <x:c r="A143" s="19" t="str">
        <x:v>员工管理</x:v>
      </x:c>
      <x:c r="B143" s="19" t="str">
        <x:v>员工列表</x:v>
      </x:c>
      <x:c r="C143" s="19" t="str">
        <x:v>员工档案列表</x:v>
      </x:c>
      <x:c r="D143" s="19" t="str">
        <x:v>维护员工工号、姓名、部门、职位、职级、状态和标准时薪。</x:v>
      </x:c>
      <x:c r="E143" s="19" t="str">
        <x:v>支持筛选、查看、编辑、新增。</x:v>
      </x:c>
      <x:c r="F143" s="19" t="str">
        <x:v>Employee、department、position、level</x:v>
      </x:c>
      <x:c r="G143" s="19" t="str">
        <x:v>/employees</x:v>
      </x:c>
      <x:c r="H143" s="19" t="str">
        <x:v>已在前端菜单/页面体现</x:v>
      </x:c>
      <x:c r="I143" s="19" t="str">
        <x:v>src/app/pages/employee/EmployeeList.tsx</x:v>
      </x:c>
    </x:row>
    <x:row r="144">
      <x:c r="A144" s="19" t="str">
        <x:v>员工管理</x:v>
      </x:c>
      <x:c r="B144" s="19" t="str">
        <x:v>员工列表</x:v>
      </x:c>
      <x:c r="C144" s="19" t="str">
        <x:v>员工新增/编辑</x:v>
      </x:c>
      <x:c r="D144" s="19" t="str">
        <x:v>新增或编辑员工基础档案。</x:v>
      </x:c>
      <x:c r="E144" s="19" t="str">
        <x:v>录入入职日期、转正日期、合同到期、联系方式等。</x:v>
      </x:c>
      <x:c r="F144" s="19" t="str">
        <x:v>hireDate、regularDate、contractEndDate</x:v>
      </x:c>
      <x:c r="G144" s="19" t="str">
        <x:v>/employees</x:v>
      </x:c>
      <x:c r="H144" s="19" t="str">
        <x:v>已在前端页面体现</x:v>
      </x:c>
      <x:c r="I144" s="19" t="str">
        <x:v>src/app/pages/employee/EmployeeList.tsx</x:v>
      </x:c>
    </x:row>
    <x:row r="145">
      <x:c r="A145" s="19" t="str">
        <x:v>员工管理</x:v>
      </x:c>
      <x:c r="B145" s="19" t="str">
        <x:v>员工列表</x:v>
      </x:c>
      <x:c r="C145" s="19" t="str">
        <x:v>员工状态统计</x:v>
      </x:c>
      <x:c r="D145" s="19" t="str">
        <x:v>统计在职、本月入职、本月离职、试用期人数。</x:v>
      </x:c>
      <x:c r="E145" s="19" t="str">
        <x:v>作为员工管理摘要栏。</x:v>
      </x:c>
      <x:c r="F145" s="19" t="str">
        <x:v>activeCount、newJoin、leaveCount、probationCount</x:v>
      </x:c>
      <x:c r="G145" s="19" t="str">
        <x:v>/employees</x:v>
      </x:c>
      <x:c r="H145" s="19" t="str">
        <x:v>已在前端页面体现</x:v>
      </x:c>
      <x:c r="I145" s="19" t="str">
        <x:v>src/app/pages/employee/EmployeeList.tsx</x:v>
      </x:c>
    </x:row>
    <x:row r="146">
      <x:c r="A146" s="19" t="str">
        <x:v>员工管理</x:v>
      </x:c>
      <x:c r="B146" s="19" t="str">
        <x:v>员工详情</x:v>
      </x:c>
      <x:c r="C146" s="19" t="str">
        <x:v>员工基本档案</x:v>
      </x:c>
      <x:c r="D146" s="19" t="str">
        <x:v>展示员工个人信息、岗位、职级、联系方式和紧急联系人。</x:v>
      </x:c>
      <x:c r="E146" s="19" t="str">
        <x:v>支持从员工列表进入。</x:v>
      </x:c>
      <x:c r="F146" s="19" t="str">
        <x:v>Employee profile</x:v>
      </x:c>
      <x:c r="G146" s="19" t="str">
        <x:v>/employees/:id</x:v>
      </x:c>
      <x:c r="H146" s="19" t="str">
        <x:v>已在前端页面体现</x:v>
      </x:c>
      <x:c r="I146" s="19" t="str">
        <x:v>src/app/pages/employee/EmployeeDetail.tsx</x:v>
      </x:c>
    </x:row>
    <x:row r="147">
      <x:c r="A147" s="19" t="str">
        <x:v>员工管理</x:v>
      </x:c>
      <x:c r="B147" s="19" t="str">
        <x:v>员工详情</x:v>
      </x:c>
      <x:c r="C147" s="19" t="str">
        <x:v>考勤记录</x:v>
      </x:c>
      <x:c r="D147" s="19" t="str">
        <x:v>查看员工考勤、请假、加班记录。</x:v>
      </x:c>
      <x:c r="E147" s="19" t="str">
        <x:v>作为员工详情 Tab。</x:v>
      </x:c>
      <x:c r="F147" s="19" t="str">
        <x:v>AttendanceRecord</x:v>
      </x:c>
      <x:c r="G147" s="19" t="str">
        <x:v>/employees/:id</x:v>
      </x:c>
      <x:c r="H147" s="19" t="str">
        <x:v>已在前端页面体现</x:v>
      </x:c>
      <x:c r="I147" s="19" t="str">
        <x:v>src/app/pages/employee/EmployeeDetail.tsx</x:v>
      </x:c>
    </x:row>
    <x:row r="148">
      <x:c r="A148" s="19" t="str">
        <x:v>员工管理</x:v>
      </x:c>
      <x:c r="B148" s="19" t="str">
        <x:v>考勤管理</x:v>
      </x:c>
      <x:c r="C148" s="19" t="str">
        <x:v>考勤申请列表</x:v>
      </x:c>
      <x:c r="D148" s="19" t="str">
        <x:v>统一管理员工请假、加班、调休等申请。</x:v>
      </x:c>
      <x:c r="E148" s="19" t="str">
        <x:v>支持新增申请、审批、拒绝。</x:v>
      </x:c>
      <x:c r="F148" s="19" t="str">
        <x:v>AttendanceRecord、type、status</x:v>
      </x:c>
      <x:c r="G148" s="19" t="str">
        <x:v>/employees/attendance</x:v>
      </x:c>
      <x:c r="H148" s="19" t="str">
        <x:v>已在前端菜单/页面体现</x:v>
      </x:c>
      <x:c r="I148" s="19" t="str">
        <x:v>src/app/pages/employee/AttendanceManagement.tsx</x:v>
      </x:c>
    </x:row>
    <x:row r="149">
      <x:c r="A149" s="19" t="str">
        <x:v>员工管理</x:v>
      </x:c>
      <x:c r="B149" s="19" t="str">
        <x:v>考勤管理</x:v>
      </x:c>
      <x:c r="C149" s="19" t="str">
        <x:v>考勤汇总</x:v>
      </x:c>
      <x:c r="D149" s="19" t="str">
        <x:v>统计本月请假天数、加班时长、待审批申请和有考勤记录人数。</x:v>
      </x:c>
      <x:c r="E149" s="19" t="str">
        <x:v>作为考勤看板摘要。</x:v>
      </x:c>
      <x:c r="F149" s="19" t="str">
        <x:v>leaveDays、overtimeHours、pendingCount</x:v>
      </x:c>
      <x:c r="G149" s="19" t="str">
        <x:v>/employees/attendance</x:v>
      </x:c>
      <x:c r="H149" s="19" t="str">
        <x:v>已在前端页面体现</x:v>
      </x:c>
      <x:c r="I149" s="19" t="str">
        <x:v>src/app/pages/employee/AttendanceManagement.tsx</x:v>
      </x:c>
    </x:row>
    <x:row r="150">
      <x:c r="A150" s="19" t="str">
        <x:v>员工管理</x:v>
      </x:c>
      <x:c r="B150" s="19" t="str">
        <x:v>考勤管理</x:v>
      </x:c>
      <x:c r="C150" s="19" t="str">
        <x:v>请假/加班申请</x:v>
      </x:c>
      <x:c r="D150" s="19" t="str">
        <x:v>新增请假或加班申请。</x:v>
      </x:c>
      <x:c r="E150" s="19" t="str">
        <x:v>字段包括申请人、类型、起止日期、天数、事由。</x:v>
      </x:c>
      <x:c r="F150" s="19" t="str">
        <x:v>employeeId、type、startDate、endDate</x:v>
      </x:c>
      <x:c r="G150" s="19" t="str">
        <x:v>/employees/attendance</x:v>
      </x:c>
      <x:c r="H150" s="19" t="str">
        <x:v>已在前端页面体现</x:v>
      </x:c>
      <x:c r="I150" s="19" t="str">
        <x:v>docs/superpowers/specs/2026-07-01-employee-management-design.md</x:v>
      </x:c>
    </x:row>
    <x:row r="151">
      <x:c r="A151" s="19" t="str">
        <x:v>员工管理</x:v>
      </x:c>
      <x:c r="B151" s="19" t="str">
        <x:v>绩效考核</x:v>
      </x:c>
      <x:c r="C151" s="19" t="str">
        <x:v>绩效考核列表</x:v>
      </x:c>
      <x:c r="D151" s="19" t="str">
        <x:v>维护月度/季度绩效考核记录。</x:v>
      </x:c>
      <x:c r="E151" s="19" t="str">
        <x:v>支持新增绩效考核。</x:v>
      </x:c>
      <x:c r="F151" s="19" t="str">
        <x:v>PerformanceReview、period、score、rank</x:v>
      </x:c>
      <x:c r="G151" s="19" t="str">
        <x:v>/employees/performance</x:v>
      </x:c>
      <x:c r="H151" s="19" t="str">
        <x:v>已在前端菜单/页面体现</x:v>
      </x:c>
      <x:c r="I151" s="19" t="str">
        <x:v>src/app/pages/employee/PerformanceManagement.tsx</x:v>
      </x:c>
    </x:row>
    <x:row r="152">
      <x:c r="A152" s="19" t="str">
        <x:v>员工管理</x:v>
      </x:c>
      <x:c r="B152" s="19" t="str">
        <x:v>绩效考核</x:v>
      </x:c>
      <x:c r="C152" s="19" t="str">
        <x:v>考核打分</x:v>
      </x:c>
      <x:c r="D152" s="19" t="str">
        <x:v>录入 KPI 得分、行为得分、评语和考核人。</x:v>
      </x:c>
      <x:c r="E152" s="19" t="str">
        <x:v>自动计算总分和评级。</x:v>
      </x:c>
      <x:c r="F152" s="19" t="str">
        <x:v>kpiScore、behaviorScore、comment、reviewer</x:v>
      </x:c>
      <x:c r="G152" s="19" t="str">
        <x:v>/employees/performance</x:v>
      </x:c>
      <x:c r="H152" s="19" t="str">
        <x:v>已在前端/设计体现</x:v>
      </x:c>
      <x:c r="I152" s="19" t="str">
        <x:v>docs/superpowers/specs/2026-07-01-employee-management-design.md</x:v>
      </x:c>
    </x:row>
    <x:row r="153">
      <x:c r="A153" s="19" t="str">
        <x:v>员工管理</x:v>
      </x:c>
      <x:c r="B153" s="19" t="str">
        <x:v>绩效考核</x:v>
      </x:c>
      <x:c r="C153" s="19" t="str">
        <x:v>绩效汇总</x:v>
      </x:c>
      <x:c r="D153" s="19" t="str">
        <x:v>统计本月考核人数、本季度考核人数、平均 KPI、S/A 评级占比。</x:v>
      </x:c>
      <x:c r="E153" s="19" t="str">
        <x:v>用于 HR 和管理层查看绩效概况。</x:v>
      </x:c>
      <x:c r="F153" s="19" t="str">
        <x:v>reviewCount、avgKpi、rankRatio</x:v>
      </x:c>
      <x:c r="G153" s="19" t="str">
        <x:v>/employees/performance</x:v>
      </x:c>
      <x:c r="H153" s="19" t="str">
        <x:v>已在前端页面体现</x:v>
      </x:c>
      <x:c r="I153" s="19" t="str">
        <x:v>src/app/pages/employee/PerformanceManagement.tsx</x:v>
      </x:c>
    </x:row>
    <x:row r="154">
      <x:c r="A154" s="19" t="str">
        <x:v>员工管理</x:v>
      </x:c>
      <x:c r="B154" s="19" t="str">
        <x:v>职级时薪设置</x:v>
      </x:c>
      <x:c r="C154" s="19" t="str">
        <x:v>按职位配置职级时薪</x:v>
      </x:c>
      <x:c r="D154" s="19" t="str">
        <x:v>按职位 Tab 维护 L1-L10 各职级标准时薪。</x:v>
      </x:c>
      <x:c r="E154" s="19" t="str">
        <x:v>标准时薪会同步影响同职位同职级员工。</x:v>
      </x:c>
      <x:c r="F154" s="19" t="str">
        <x:v>LevelRateConfig、standardRate</x:v>
      </x:c>
      <x:c r="G154" s="19" t="str">
        <x:v>/employees/level-rates</x:v>
      </x:c>
      <x:c r="H154" s="19" t="str">
        <x:v>已在前端菜单/页面体现</x:v>
      </x:c>
      <x:c r="I154" s="19" t="str">
        <x:v>src/app/pages/employee/LevelRateSettings.tsx</x:v>
      </x:c>
    </x:row>
    <x:row r="155">
      <x:c r="A155" s="19" t="str">
        <x:v>员工管理</x:v>
      </x:c>
      <x:c r="B155" s="19" t="str">
        <x:v>职级时薪设置</x:v>
      </x:c>
      <x:c r="C155" s="19" t="str">
        <x:v>时薪编辑保存</x:v>
      </x:c>
      <x:c r="D155" s="19" t="str">
        <x:v>直接编辑标准时薪并保存。</x:v>
      </x:c>
      <x:c r="E155" s="19" t="str">
        <x:v>同步更新员工 standardHourlyRate。</x:v>
      </x:c>
      <x:c r="F155" s="19" t="str">
        <x:v>level、position、rate</x:v>
      </x:c>
      <x:c r="G155" s="19" t="str">
        <x:v>/employees/level-rates</x:v>
      </x:c>
      <x:c r="H155" s="19" t="str">
        <x:v>已在前端代码体现</x:v>
      </x:c>
      <x:c r="I155" s="19" t="str">
        <x:v>src/app/pages/employee/EmployeeContext.tsx</x:v>
      </x:c>
    </x:row>
    <x:row r="156">
      <x:c r="A156" s="19" t="str">
        <x:v>员工管理</x:v>
      </x:c>
      <x:c r="B156" s="19" t="str">
        <x:v>员工生命周期</x:v>
      </x:c>
      <x:c r="C156" s="19" t="str">
        <x:v>入离职/转正管理</x:v>
      </x:c>
      <x:c r="D156" s="19" t="str">
        <x:v>维护入职、转正、离职和合同到期。</x:v>
      </x:c>
      <x:c r="E156" s="19" t="str">
        <x:v>为提醒、组织统计和工资核算提供基础。</x:v>
      </x:c>
      <x:c r="F156" s="19" t="str">
        <x:v>hireDate、regularDate、leaveDate、contractEndDate</x:v>
      </x:c>
      <x:c r="G156" s="19" t="str">
        <x:v>/employees</x:v>
      </x:c>
      <x:c r="H156" s="19" t="str">
        <x:v>规划/页面体现</x:v>
      </x:c>
      <x:c r="I156" s="19" t="str">
        <x:v>docs/superpowers/specs/2026-07-01-employee-management-design.md</x:v>
      </x:c>
    </x:row>
    <x:row r="157">
      <x:c r="A157" s="19" t="str">
        <x:v>员工能力建模</x:v>
      </x:c>
      <x:c r="B157" s="19" t="str">
        <x:v>能力面板</x:v>
      </x:c>
      <x:c r="C157" s="19" t="str">
        <x:v>五维能力值</x:v>
      </x:c>
      <x:c r="D157" s="19" t="str">
        <x:v>对员工技术、业务、管理、工具、领域知识五个维度打分。</x:v>
      </x:c>
      <x:c r="E157" s="19" t="str">
        <x:v>分值范围 0-100。</x:v>
      </x:c>
      <x:c r="F157" s="19" t="str">
        <x:v>AbilityScores: tech/biz/mgmt/tool/domain</x:v>
      </x:c>
      <x:c r="G157" s="19" t="str">
        <x:v>/employees/:id</x:v>
      </x:c>
      <x:c r="H157" s="19" t="str">
        <x:v>已在前端页面体现</x:v>
      </x:c>
      <x:c r="I157" s="19" t="str">
        <x:v>src/app/pages/employee/EmployeeDetail.tsx</x:v>
      </x:c>
    </x:row>
    <x:row r="158">
      <x:c r="A158" s="19" t="str">
        <x:v>员工能力建模</x:v>
      </x:c>
      <x:c r="B158" s="19" t="str">
        <x:v>能力面板</x:v>
      </x:c>
      <x:c r="C158" s="19" t="str">
        <x:v>能力雷达图</x:v>
      </x:c>
      <x:c r="D158" s="19" t="str">
        <x:v>以雷达图展示五维能力分布。</x:v>
      </x:c>
      <x:c r="E158" s="19" t="str">
        <x:v>用于快速识别员工能力结构。</x:v>
      </x:c>
      <x:c r="F158" s="19" t="str">
        <x:v>AbilityScores</x:v>
      </x:c>
      <x:c r="G158" s="19" t="str">
        <x:v>/employees/:id</x:v>
      </x:c>
      <x:c r="H158" s="19" t="str">
        <x:v>已在前端页面体现</x:v>
      </x:c>
      <x:c r="I158" s="19" t="str">
        <x:v>src/app/pages/employee/EmployeeDetail.tsx</x:v>
      </x:c>
    </x:row>
    <x:row r="159">
      <x:c r="A159" s="19" t="str">
        <x:v>员工能力建模</x:v>
      </x:c>
      <x:c r="B159" s="19" t="str">
        <x:v>能力面板</x:v>
      </x:c>
      <x:c r="C159" s="19" t="str">
        <x:v>职位权重加权分</x:v>
      </x:c>
      <x:c r="D159" s="19" t="str">
        <x:v>不同职位按不同权重计算总分。</x:v>
      </x:c>
      <x:c r="E159" s="19" t="str">
        <x:v>加权总分用于晋级和人才评估。</x:v>
      </x:c>
      <x:c r="F159" s="19" t="str">
        <x:v>positionWeights、weightedScore</x:v>
      </x:c>
      <x:c r="G159" s="19" t="str">
        <x:v>/employees/:id</x:v>
      </x:c>
      <x:c r="H159" s="19" t="str">
        <x:v>已在前端/设计体现</x:v>
      </x:c>
      <x:c r="I159" s="19" t="str">
        <x:v>docs/superpowers/specs/2026-06-30-employee-capability-modeling-design.md</x:v>
      </x:c>
    </x:row>
    <x:row r="160">
      <x:c r="A160" s="19" t="str">
        <x:v>员工能力建模</x:v>
      </x:c>
      <x:c r="B160" s="19" t="str">
        <x:v>技能树</x:v>
      </x:c>
      <x:c r="C160" s="19" t="str">
        <x:v>技能树展示</x:v>
      </x:c>
      <x:c r="D160" s="19" t="str">
        <x:v>按技能领域展示员工技能节点和解锁状态。</x:v>
      </x:c>
      <x:c r="E160" s="19" t="str">
        <x:v>最多三层，支持跨岗位技能。</x:v>
      </x:c>
      <x:c r="F160" s="19" t="str">
        <x:v>SkillNode、domain、status</x:v>
      </x:c>
      <x:c r="G160" s="19" t="str">
        <x:v>/employees/:id</x:v>
      </x:c>
      <x:c r="H160" s="19" t="str">
        <x:v>已在前端页面体现</x:v>
      </x:c>
      <x:c r="I160" s="19" t="str">
        <x:v>src/app/pages/employee/EmployeeDetail.tsx</x:v>
      </x:c>
    </x:row>
    <x:row r="161">
      <x:c r="A161" s="19" t="str">
        <x:v>员工能力建模</x:v>
      </x:c>
      <x:c r="B161" s="19" t="str">
        <x:v>经验机制</x:v>
      </x:c>
      <x:c r="C161" s="19" t="str">
        <x:v>日报经验</x:v>
      </x:c>
      <x:c r="D161" s="19" t="str">
        <x:v>根据日报工作种类给对应能力维度增加经验。</x:v>
      </x:c>
      <x:c r="E161" s="19" t="str">
        <x:v>日常经验来源。</x:v>
      </x:c>
      <x:c r="F161" s="19" t="str">
        <x:v>workType、abilityDimension、XP</x:v>
      </x:c>
      <x:c r="G161" s="19" t="str">
        <x:v>日报 -&gt; 员工能力</x:v>
      </x:c>
      <x:c r="H161" s="19" t="str">
        <x:v>规划提及</x:v>
      </x:c>
      <x:c r="I161" s="19" t="str">
        <x:v>docs/superpowers/specs/2026-06-30-employee-capability-modeling-design.md</x:v>
      </x:c>
    </x:row>
    <x:row r="162">
      <x:c r="A162" s="19" t="str">
        <x:v>员工能力建模</x:v>
      </x:c>
      <x:c r="B162" s="19" t="str">
        <x:v>经验机制</x:v>
      </x:c>
      <x:c r="C162" s="19" t="str">
        <x:v>项目结算经验</x:v>
      </x:c>
      <x:c r="D162" s="19" t="str">
        <x:v>项目完成后按角色和贡献发放经验。</x:v>
      </x:c>
      <x:c r="E162" s="19" t="str">
        <x:v>阶段性经验来源。</x:v>
      </x:c>
      <x:c r="F162" s="19" t="str">
        <x:v>projectRole、contribution、XP</x:v>
      </x:c>
      <x:c r="G162" s="19" t="str">
        <x:v>项目 -&gt; 员工能力</x:v>
      </x:c>
      <x:c r="H162" s="19" t="str">
        <x:v>规划提及</x:v>
      </x:c>
      <x:c r="I162" s="19" t="str">
        <x:v>docs/superpowers/specs/2026-06-30-employee-capability-modeling-design.md</x:v>
      </x:c>
    </x:row>
    <x:row r="163">
      <x:c r="A163" s="19" t="str">
        <x:v>员工能力建模</x:v>
      </x:c>
      <x:c r="B163" s="19" t="str">
        <x:v>晋级流程</x:v>
      </x:c>
      <x:c r="C163" s="19" t="str">
        <x:v>晋级资格判断</x:v>
      </x:c>
      <x:c r="D163" s="19" t="str">
        <x:v>数值达标后解锁晋级资格。</x:v>
      </x:c>
      <x:c r="E163" s="19" t="str">
        <x:v>晋级流程为数值达标 -&gt; 资格解锁 -&gt; 评审审批 -&gt; 晋升。</x:v>
      </x:c>
      <x:c r="F163" s="19" t="str">
        <x:v>promotionEligibility、levelThreshold</x:v>
      </x:c>
      <x:c r="G163" s="19" t="str">
        <x:v>/employees/:id</x:v>
      </x:c>
      <x:c r="H163" s="19" t="str">
        <x:v>已在前端/设计体现</x:v>
      </x:c>
      <x:c r="I163" s="19" t="str">
        <x:v>src/app/pages/employee/mockData.ts</x:v>
      </x:c>
    </x:row>
    <x:row r="164">
      <x:c r="A164" s="19" t="str">
        <x:v>员工能力建模</x:v>
      </x:c>
      <x:c r="B164" s="19" t="str">
        <x:v>员工画像</x:v>
      </x:c>
      <x:c r="C164" s="19" t="str">
        <x:v>三张画像</x:v>
      </x:c>
      <x:c r="D164" s="19" t="str">
        <x:v>沉淀面试画像、入职画像、在职画像。</x:v>
      </x:c>
      <x:c r="E164" s="19" t="str">
        <x:v>支持版本管理和成长轨迹对比。</x:v>
      </x:c>
      <x:c r="F164" s="19" t="str">
        <x:v>profileSnapshot、version</x:v>
      </x:c>
      <x:c r="G164" s="19" t="str">
        <x:v>/employees/:id</x:v>
      </x:c>
      <x:c r="H164" s="19" t="str">
        <x:v>规划提及</x:v>
      </x:c>
      <x:c r="I164" s="19" t="str">
        <x:v>docs/superpowers/specs/2026-06-30-employee-capability-modeling-design.md</x:v>
      </x:c>
    </x:row>
    <x:row r="165">
      <x:c r="A165" s="19" t="str">
        <x:v>员工能力建模</x:v>
      </x:c>
      <x:c r="B165" s="19" t="str">
        <x:v>履历管理</x:v>
      </x:c>
      <x:c r="C165" s="19" t="str">
        <x:v>入职前履历</x:v>
      </x:c>
      <x:c r="D165" s="19" t="str">
        <x:v>录入员工入职前项目经历。</x:v>
      </x:c>
      <x:c r="E165" s="19" t="str">
        <x:v>作为能力初始估算依据。</x:v>
      </x:c>
      <x:c r="F165" s="19" t="str">
        <x:v>preJoinProjects、role、techStack</x:v>
      </x:c>
      <x:c r="G165" s="19" t="str">
        <x:v>/employees/:id</x:v>
      </x:c>
      <x:c r="H165" s="19" t="str">
        <x:v>规划提及</x:v>
      </x:c>
      <x:c r="I165" s="19" t="str">
        <x:v>docs/superpowers/specs/2026-06-30-employee-capability-modeling-design.md</x:v>
      </x:c>
    </x:row>
    <x:row r="166">
      <x:c r="A166" s="19" t="str">
        <x:v>员工能力建模</x:v>
      </x:c>
      <x:c r="B166" s="19" t="str">
        <x:v>履历管理</x:v>
      </x:c>
      <x:c r="C166" s="19" t="str">
        <x:v>在职项目履历</x:v>
      </x:c>
      <x:c r="D166" s="19" t="str">
        <x:v>自动从项目管理同步员工参与项目、角色和工时。</x:v>
      </x:c>
      <x:c r="E166" s="19" t="str">
        <x:v>减少重复维护。</x:v>
      </x:c>
      <x:c r="F166" s="19" t="str">
        <x:v>projectId、role、hours</x:v>
      </x:c>
      <x:c r="G166" s="19" t="str">
        <x:v>项目 -&gt; 员工详情</x:v>
      </x:c>
      <x:c r="H166" s="19" t="str">
        <x:v>规划提及</x:v>
      </x:c>
      <x:c r="I166" s="19" t="str">
        <x:v>docs/superpowers/specs/2026-06-30-employee-capability-modeling-design.md</x:v>
      </x:c>
    </x:row>
    <x:row r="167">
      <x:c r="A167" s="19" t="str">
        <x:v>员工能力建模</x:v>
      </x:c>
      <x:c r="B167" s="19" t="str">
        <x:v>招聘量化</x:v>
      </x:c>
      <x:c r="C167" s="19" t="str">
        <x:v>面试评分卡</x:v>
      </x:c>
      <x:c r="D167" s="19" t="str">
        <x:v>将面试客观测试和主观评分转为能力初始值。</x:v>
      </x:c>
      <x:c r="E167" s="19" t="str">
        <x:v>用于生成面试画像。</x:v>
      </x:c>
      <x:c r="F167" s="19" t="str">
        <x:v>interviewScore、abilityMapping</x:v>
      </x:c>
      <x:c r="G167" s="19" t="str">
        <x:v>招聘/员工</x:v>
      </x:c>
      <x:c r="H167" s="19" t="str">
        <x:v>规划提及</x:v>
      </x:c>
      <x:c r="I167" s="19" t="str">
        <x:v>docs/superpowers/specs/2026-06-30-employee-capability-modeling-design.md</x:v>
      </x:c>
    </x:row>
    <x:row r="168">
      <x:c r="A168" s="19" t="str">
        <x:v>员工能力建模</x:v>
      </x:c>
      <x:c r="B168" s="19" t="str">
        <x:v>性格测评</x:v>
      </x:c>
      <x:c r="C168" s="19" t="str">
        <x:v>MBTI/大五/DISC/九型人格</x:v>
      </x:c>
      <x:c r="D168" s="19" t="str">
        <x:v>展示员工性格测评结果，用于团队协作参考。</x:v>
      </x:c>
      <x:c r="E168" s="19" t="str">
        <x:v>作为员工详情性格测评 Tab。</x:v>
      </x:c>
      <x:c r="F168" s="19" t="str">
        <x:v>MBTI、BigFive、DISC、Enneagram</x:v>
      </x:c>
      <x:c r="G168" s="19" t="str">
        <x:v>/employees/:id</x:v>
      </x:c>
      <x:c r="H168" s="19" t="str">
        <x:v>已在前端页面体现</x:v>
      </x:c>
      <x:c r="I168" s="19" t="str">
        <x:v>src/app/pages/employee/EmployeeDetail.tsx</x:v>
      </x:c>
    </x:row>
    <x:row r="169">
      <x:c r="A169" s="19" t="str">
        <x:v>系统管理</x:v>
      </x:c>
      <x:c r="B169" s="19" t="str">
        <x:v>组织架构</x:v>
      </x:c>
      <x:c r="C169" s="19" t="str">
        <x:v>部门管理</x:v>
      </x:c>
      <x:c r="D169" s="19" t="str">
        <x:v>维护企业部门层级。</x:v>
      </x:c>
      <x:c r="E169" s="19" t="str">
        <x:v>支持新增、编辑、删除部门。</x:v>
      </x:c>
      <x:c r="F169" s="19" t="str">
        <x:v>Department、parentId、manager</x:v>
      </x:c>
      <x:c r="G169" s="19" t="str">
        <x:v>/system/organization</x:v>
      </x:c>
      <x:c r="H169" s="19" t="str">
        <x:v>已在前端菜单/页面体现</x:v>
      </x:c>
      <x:c r="I169" s="19" t="str">
        <x:v>src/app/pages/Organization.tsx</x:v>
      </x:c>
    </x:row>
    <x:row r="170">
      <x:c r="A170" s="19" t="str">
        <x:v>系统管理</x:v>
      </x:c>
      <x:c r="B170" s="19" t="str">
        <x:v>组织架构</x:v>
      </x:c>
      <x:c r="C170" s="19" t="str">
        <x:v>人员管理</x:v>
      </x:c>
      <x:c r="D170" s="19" t="str">
        <x:v>维护组织架构下人员信息。</x:v>
      </x:c>
      <x:c r="E170" s="19" t="str">
        <x:v>支持新增、编辑、删除员工基础信息。</x:v>
      </x:c>
      <x:c r="F170" s="19" t="str">
        <x:v>Employee、departmentId、status</x:v>
      </x:c>
      <x:c r="G170" s="19" t="str">
        <x:v>/system/organization</x:v>
      </x:c>
      <x:c r="H170" s="19" t="str">
        <x:v>已在前端页面体现</x:v>
      </x:c>
      <x:c r="I170" s="19" t="str">
        <x:v>src/app/pages/Organization.tsx</x:v>
      </x:c>
    </x:row>
    <x:row r="171">
      <x:c r="A171" s="19" t="str">
        <x:v>系统管理</x:v>
      </x:c>
      <x:c r="B171" s="19" t="str">
        <x:v>用户权限</x:v>
      </x:c>
      <x:c r="C171" s="19" t="str">
        <x:v>用户管理</x:v>
      </x:c>
      <x:c r="D171" s="19" t="str">
        <x:v>维护系统账号。</x:v>
      </x:c>
      <x:c r="E171" s="19" t="str">
        <x:v>支持新建、编辑、启用/禁用、删除。</x:v>
      </x:c>
      <x:c r="F171" s="19" t="str">
        <x:v>User、roleIds、status</x:v>
      </x:c>
      <x:c r="G171" s="19" t="str">
        <x:v>/system/permission</x:v>
      </x:c>
      <x:c r="H171" s="19" t="str">
        <x:v>已在前端菜单/页面体现</x:v>
      </x:c>
      <x:c r="I171" s="19" t="str">
        <x:v>src/app/pages/UserPermission.tsx</x:v>
      </x:c>
    </x:row>
    <x:row r="172">
      <x:c r="A172" s="19" t="str">
        <x:v>系统管理</x:v>
      </x:c>
      <x:c r="B172" s="19" t="str">
        <x:v>用户权限</x:v>
      </x:c>
      <x:c r="C172" s="19" t="str">
        <x:v>角色管理</x:v>
      </x:c>
      <x:c r="D172" s="19" t="str">
        <x:v>维护系统角色和角色说明。</x:v>
      </x:c>
      <x:c r="E172" s="19" t="str">
        <x:v>支持新建、编辑、删除角色。</x:v>
      </x:c>
      <x:c r="F172" s="19" t="str">
        <x:v>Role、permissions</x:v>
      </x:c>
      <x:c r="G172" s="19" t="str">
        <x:v>/system/permission</x:v>
      </x:c>
      <x:c r="H172" s="19" t="str">
        <x:v>已在前端页面体现</x:v>
      </x:c>
      <x:c r="I172" s="19" t="str">
        <x:v>src/app/pages/UserPermission.tsx</x:v>
      </x:c>
    </x:row>
    <x:row r="173">
      <x:c r="A173" s="19" t="str">
        <x:v>系统管理</x:v>
      </x:c>
      <x:c r="B173" s="19" t="str">
        <x:v>用户权限</x:v>
      </x:c>
      <x:c r="C173" s="19" t="str">
        <x:v>权限树配置</x:v>
      </x:c>
      <x:c r="D173" s="19" t="str">
        <x:v>为角色配置菜单、按钮和数据权限。</x:v>
      </x:c>
      <x:c r="E173" s="19" t="str">
        <x:v>通过权限树勾选。</x:v>
      </x:c>
      <x:c r="F173" s="19" t="str">
        <x:v>PermissionTree、checkedKeys</x:v>
      </x:c>
      <x:c r="G173" s="19" t="str">
        <x:v>/system/permission</x:v>
      </x:c>
      <x:c r="H173" s="19" t="str">
        <x:v>已在前端页面体现</x:v>
      </x:c>
      <x:c r="I173" s="19" t="str">
        <x:v>src/app/pages/UserPermission.tsx</x:v>
      </x:c>
    </x:row>
    <x:row r="174">
      <x:c r="A174" s="19" t="str">
        <x:v>系统管理</x:v>
      </x:c>
      <x:c r="B174" s="19" t="str">
        <x:v>本公司主体</x:v>
      </x:c>
      <x:c r="C174" s="19" t="str">
        <x:v>主体列表</x:v>
      </x:c>
      <x:c r="D174" s="19" t="str">
        <x:v>维护公司多个业务对接主体。</x:v>
      </x:c>
      <x:c r="E174" s="19" t="str">
        <x:v>支持查看、新建、编辑、删除。</x:v>
      </x:c>
      <x:c r="F174" s="19" t="str">
        <x:v>CompanyEntityRecord、name、taxNo</x:v>
      </x:c>
      <x:c r="G174" s="19" t="str">
        <x:v>/system/company</x:v>
      </x:c>
      <x:c r="H174" s="19" t="str">
        <x:v>已在前端菜单/页面体现</x:v>
      </x:c>
      <x:c r="I174" s="19" t="str">
        <x:v>src/app/pages/CompanyEntity.tsx</x:v>
      </x:c>
    </x:row>
    <x:row r="175">
      <x:c r="A175" s="19" t="str">
        <x:v>系统管理</x:v>
      </x:c>
      <x:c r="B175" s="19" t="str">
        <x:v>本公司主体</x:v>
      </x:c>
      <x:c r="C175" s="19" t="str">
        <x:v>三 Tab 资料维护</x:v>
      </x:c>
      <x:c r="D175" s="19" t="str">
        <x:v>公司主体信息按基础信息、开票信息、公司资料展示。</x:v>
      </x:c>
      <x:c r="E175" s="19" t="str">
        <x:v>公司资料区分 PDF 和 PPTX。</x:v>
      </x:c>
      <x:c r="F175" s="19" t="str">
        <x:v>basic、invoice、files</x:v>
      </x:c>
      <x:c r="G175" s="19" t="str">
        <x:v>/system/company</x:v>
      </x:c>
      <x:c r="H175" s="19" t="str">
        <x:v>已在前端/设计体现</x:v>
      </x:c>
      <x:c r="I175" s="19" t="str">
        <x:v>docs/superpowers/specs/2026-05-12-company-entity-info-design.md</x:v>
      </x:c>
    </x:row>
    <x:row r="176">
      <x:c r="A176" s="19" t="str">
        <x:v>系统管理</x:v>
      </x:c>
      <x:c r="B176" s="19" t="str">
        <x:v>数据字典</x:v>
      </x:c>
      <x:c r="C176" s="19" t="str">
        <x:v>字典分类</x:v>
      </x:c>
      <x:c r="D176" s="19" t="str">
        <x:v>维护客户类、线索类、项目类等字典分类。</x:v>
      </x:c>
      <x:c r="E176" s="19" t="str">
        <x:v>支持新增、编辑、删除分类。</x:v>
      </x:c>
      <x:c r="F176" s="19" t="str">
        <x:v>DictType</x:v>
      </x:c>
      <x:c r="G176" s="19" t="str">
        <x:v>/system/dictionary</x:v>
      </x:c>
      <x:c r="H176" s="19" t="str">
        <x:v>已在前端菜单/页面体现</x:v>
      </x:c>
      <x:c r="I176" s="19" t="str">
        <x:v>src/app/pages/Dictionary.tsx</x:v>
      </x:c>
    </x:row>
    <x:row r="177">
      <x:c r="A177" s="19" t="str">
        <x:v>系统管理</x:v>
      </x:c>
      <x:c r="B177" s="19" t="str">
        <x:v>数据字典</x:v>
      </x:c>
      <x:c r="C177" s="19" t="str">
        <x:v>字典项</x:v>
      </x:c>
      <x:c r="D177" s="19" t="str">
        <x:v>维护具体字典项，如线索来源、客户等级、标签等。</x:v>
      </x:c>
      <x:c r="E177" s="19" t="str">
        <x:v>支持新增、编辑、删除、状态维护。</x:v>
      </x:c>
      <x:c r="F177" s="19" t="str">
        <x:v>DictItem、sort、enabled</x:v>
      </x:c>
      <x:c r="G177" s="19" t="str">
        <x:v>/system/dictionary</x:v>
      </x:c>
      <x:c r="H177" s="19" t="str">
        <x:v>已在前端页面体现</x:v>
      </x:c>
      <x:c r="I177" s="19" t="str">
        <x:v>src/app/pages/Dictionary.tsx</x:v>
      </x:c>
    </x:row>
    <x:row r="178">
      <x:c r="A178" s="19" t="str">
        <x:v>系统管理</x:v>
      </x:c>
      <x:c r="B178" s="19" t="str">
        <x:v>系统日志</x:v>
      </x:c>
      <x:c r="C178" s="19" t="str">
        <x:v>操作日志</x:v>
      </x:c>
      <x:c r="D178" s="19" t="str">
        <x:v>记录用户系统操作。</x:v>
      </x:c>
      <x:c r="E178" s="19" t="str">
        <x:v>支持按操作人、时间、类型查询。</x:v>
      </x:c>
      <x:c r="F178" s="19" t="str">
        <x:v>operator、action、ip、time</x:v>
      </x:c>
      <x:c r="G178" s="19" t="str">
        <x:v>/system/log</x:v>
      </x:c>
      <x:c r="H178" s="19" t="str">
        <x:v>已在前端菜单/页面体现</x:v>
      </x:c>
      <x:c r="I178" s="19" t="str">
        <x:v>src/app/pages/SystemLog.tsx</x:v>
      </x:c>
    </x:row>
    <x:row r="179">
      <x:c r="A179" s="19" t="str">
        <x:v>系统管理</x:v>
      </x:c>
      <x:c r="B179" s="19" t="str">
        <x:v>系统日志</x:v>
      </x:c>
      <x:c r="C179" s="19" t="str">
        <x:v>登录日志</x:v>
      </x:c>
      <x:c r="D179" s="19" t="str">
        <x:v>记录用户登录历史。</x:v>
      </x:c>
      <x:c r="E179" s="19" t="str">
        <x:v>用于排查账号安全风险。</x:v>
      </x:c>
      <x:c r="F179" s="19" t="str">
        <x:v>loginTime、ip、device</x:v>
      </x:c>
      <x:c r="G179" s="19" t="str">
        <x:v>/system/log</x:v>
      </x:c>
      <x:c r="H179" s="19" t="str">
        <x:v>已在前端页面体现</x:v>
      </x:c>
      <x:c r="I179" s="19" t="str">
        <x:v>src/app/pages/SystemLog.tsx</x:v>
      </x:c>
    </x:row>
    <x:row r="180">
      <x:c r="A180" s="19" t="str">
        <x:v>系统管理</x:v>
      </x:c>
      <x:c r="B180" s="19" t="str">
        <x:v>系统配置</x:v>
      </x:c>
      <x:c r="C180" s="19" t="str">
        <x:v>消息渠道配置</x:v>
      </x:c>
      <x:c r="D180" s="19" t="str">
        <x:v>配置企业微信、短信、邮件等消息渠道。</x:v>
      </x:c>
      <x:c r="E180" s="19" t="str">
        <x:v>保存后提示成功。</x:v>
      </x:c>
      <x:c r="F180" s="19" t="str">
        <x:v>messageChannels、enabled</x:v>
      </x:c>
      <x:c r="G180" s="19" t="str">
        <x:v>/system/config</x:v>
      </x:c>
      <x:c r="H180" s="19" t="str">
        <x:v>已在前端菜单/页面体现</x:v>
      </x:c>
      <x:c r="I180" s="19" t="str">
        <x:v>src/app/pages/SystemConfig.tsx</x:v>
      </x:c>
    </x:row>
    <x:row r="181">
      <x:c r="A181" s="19" t="str">
        <x:v>系统管理</x:v>
      </x:c>
      <x:c r="B181" s="19" t="str">
        <x:v>系统配置</x:v>
      </x:c>
      <x:c r="C181" s="19" t="str">
        <x:v>备份与恢复</x:v>
      </x:c>
      <x:c r="D181" s="19" t="str">
        <x:v>配置自动备份规则并支持立即备份、恢复。</x:v>
      </x:c>
      <x:c r="E181" s="19" t="str">
        <x:v>恢复属于高风险操作，需确认。</x:v>
      </x:c>
      <x:c r="F181" s="19" t="str">
        <x:v>backupRule、backupTime、retentionDays</x:v>
      </x:c>
      <x:c r="G181" s="19" t="str">
        <x:v>/system/config</x:v>
      </x:c>
      <x:c r="H181" s="19" t="str">
        <x:v>已在前端页面体现</x:v>
      </x:c>
      <x:c r="I181" s="19" t="str">
        <x:v>src/app/pages/SystemConfig.tsx</x:v>
      </x:c>
    </x:row>
    <x:row r="182">
      <x:c r="A182" s="19" t="str">
        <x:v>系统管理</x:v>
      </x:c>
      <x:c r="B182" s="19" t="str">
        <x:v>系统配置</x:v>
      </x:c>
      <x:c r="C182" s="19" t="str">
        <x:v>业务参数配置</x:v>
      </x:c>
      <x:c r="D182" s="19" t="str">
        <x:v>配置线索回收天数、提醒天数等全局业务参数。</x:v>
      </x:c>
      <x:c r="E182" s="19" t="str">
        <x:v>作为业务规则统一入口。</x:v>
      </x:c>
      <x:c r="F182" s="19" t="str">
        <x:v>leadRecycleDays、followReminderDays</x:v>
      </x:c>
      <x:c r="G182" s="19" t="str">
        <x:v>/system/config</x:v>
      </x:c>
      <x:c r="H182" s="19" t="str">
        <x:v>已在前端页面体现</x:v>
      </x:c>
      <x:c r="I182" s="19" t="str">
        <x:v>src/app/pages/SystemConfig.tsx</x:v>
      </x:c>
    </x:row>
    <x:row r="183">
      <x:c r="A183" s="19" t="str">
        <x:v>系统管理</x:v>
      </x:c>
      <x:c r="B183" s="19" t="str">
        <x:v>费用分类</x:v>
      </x:c>
      <x:c r="C183" s="19" t="str">
        <x:v>费用分类树</x:v>
      </x:c>
      <x:c r="D183" s="19" t="str">
        <x:v>维护报销费用一级/二级分类。</x:v>
      </x:c>
      <x:c r="E183" s="19" t="str">
        <x:v>支持分类树查看。</x:v>
      </x:c>
      <x:c r="F183" s="19" t="str">
        <x:v>ExpenseCategory、parentId</x:v>
      </x:c>
      <x:c r="G183" s="19" t="str">
        <x:v>/system/expensecategory</x:v>
      </x:c>
      <x:c r="H183" s="19" t="str">
        <x:v>已在前端菜单/页面体现</x:v>
      </x:c>
      <x:c r="I183" s="19" t="str">
        <x:v>src/app/pages/ExpenseCategoryManager.tsx</x:v>
      </x:c>
    </x:row>
    <x:row r="184">
      <x:c r="A184" s="19" t="str">
        <x:v>系统管理</x:v>
      </x:c>
      <x:c r="B184" s="19" t="str">
        <x:v>费用分类</x:v>
      </x:c>
      <x:c r="C184" s="19" t="str">
        <x:v>分类新增/编辑/删除</x:v>
      </x:c>
      <x:c r="D184" s="19" t="str">
        <x:v>新增或维护费用分类。</x:v>
      </x:c>
      <x:c r="E184" s="19" t="str">
        <x:v>有子分类时删除需提示。</x:v>
      </x:c>
      <x:c r="F184" s="19" t="str">
        <x:v>categoryName、level、status</x:v>
      </x:c>
      <x:c r="G184" s="19" t="str">
        <x:v>/system/expensecategory</x:v>
      </x:c>
      <x:c r="H184" s="19" t="str">
        <x:v>已在前端页面体现</x:v>
      </x:c>
      <x:c r="I184" s="19" t="str">
        <x:v>src/app/pages/ExpenseCategoryManager.tsx</x:v>
      </x:c>
    </x:row>
    <x:row r="185">
      <x:c r="A185" s="19" t="str">
        <x:v>审批配置</x:v>
      </x:c>
      <x:c r="B185" s="19" t="str">
        <x:v>审批模板管理</x:v>
      </x:c>
      <x:c r="C185" s="19" t="str">
        <x:v>审批模板列表</x:v>
      </x:c>
      <x:c r="D185" s="19" t="str">
        <x:v>维护通用审批模板。</x:v>
      </x:c>
      <x:c r="E185" s="19" t="str">
        <x:v>支持新建、编辑、复制、删除。</x:v>
      </x:c>
      <x:c r="F185" s="19" t="str">
        <x:v>WorkflowTemplate、nodes</x:v>
      </x:c>
      <x:c r="G185" s="19" t="str">
        <x:v>/system/workflow</x:v>
      </x:c>
      <x:c r="H185" s="19" t="str">
        <x:v>已在前端菜单/页面体现</x:v>
      </x:c>
      <x:c r="I185" s="19" t="str">
        <x:v>src/app/pages/WorkflowTemplateList.tsx</x:v>
      </x:c>
    </x:row>
    <x:row r="186">
      <x:c r="A186" s="19" t="str">
        <x:v>审批配置</x:v>
      </x:c>
      <x:c r="B186" s="19" t="str">
        <x:v>审批模板管理</x:v>
      </x:c>
      <x:c r="C186" s="19" t="str">
        <x:v>审批节点配置</x:v>
      </x:c>
      <x:c r="D186" s="19" t="str">
        <x:v>配置审批节点名称、审批人和节点顺序。</x:v>
      </x:c>
      <x:c r="E186" s="19" t="str">
        <x:v>支持动态新增节点。</x:v>
      </x:c>
      <x:c r="F186" s="19" t="str">
        <x:v>ApprovalNode、approver、order</x:v>
      </x:c>
      <x:c r="G186" s="19" t="str">
        <x:v>/system/workflow</x:v>
      </x:c>
      <x:c r="H186" s="19" t="str">
        <x:v>已在前端页面体现</x:v>
      </x:c>
      <x:c r="I186" s="19" t="str">
        <x:v>src/app/pages/WorkflowTemplateList.tsx</x:v>
      </x:c>
    </x:row>
    <x:row r="187">
      <x:c r="A187" s="19" t="str">
        <x:v>审批配置</x:v>
      </x:c>
      <x:c r="B187" s="19" t="str">
        <x:v>业务审批配置</x:v>
      </x:c>
      <x:c r="C187" s="19" t="str">
        <x:v>业务审批映射</x:v>
      </x:c>
      <x:c r="D187" s="19" t="str">
        <x:v>将报价、出差、报销、合同等业务绑定审批模板。</x:v>
      </x:c>
      <x:c r="E187" s="19" t="str">
        <x:v>按业务配置审批链路。</x:v>
      </x:c>
      <x:c r="F187" s="19" t="str">
        <x:v>BusinessMapping、templateId</x:v>
      </x:c>
      <x:c r="G187" s="19" t="str">
        <x:v>/system/bizapproval</x:v>
      </x:c>
      <x:c r="H187" s="19" t="str">
        <x:v>已在前端菜单/页面体现</x:v>
      </x:c>
      <x:c r="I187" s="19" t="str">
        <x:v>src/app/pages/BusinessMappingList.tsx</x:v>
      </x:c>
    </x:row>
    <x:row r="188">
      <x:c r="A188" s="19" t="str">
        <x:v>审批配置</x:v>
      </x:c>
      <x:c r="B188" s="19" t="str">
        <x:v>业务审批配置</x:v>
      </x:c>
      <x:c r="C188" s="19" t="str">
        <x:v>审批链路预览</x:v>
      </x:c>
      <x:c r="D188" s="19" t="str">
        <x:v>预览业务审批实际流转节点。</x:v>
      </x:c>
      <x:c r="E188" s="19" t="str">
        <x:v>用于上线前检查流程。</x:v>
      </x:c>
      <x:c r="F188" s="19" t="str">
        <x:v>nodeAssignments、previewChain</x:v>
      </x:c>
      <x:c r="G188" s="19" t="str">
        <x:v>/system/bizapproval</x:v>
      </x:c>
      <x:c r="H188" s="19" t="str">
        <x:v>已在前端页面体现</x:v>
      </x:c>
      <x:c r="I188" s="19" t="str">
        <x:v>src/app/pages/BusinessMappingList.tsx</x:v>
      </x:c>
    </x:row>
    <x:row r="189">
      <x:c r="A189" s="19" t="str">
        <x:v>审批配置</x:v>
      </x:c>
      <x:c r="B189" s="19" t="str">
        <x:v>审批消息</x:v>
      </x:c>
      <x:c r="C189" s="19" t="str">
        <x:v>待我审批提醒</x:v>
      </x:c>
      <x:c r="D189" s="19" t="str">
        <x:v>当前审批节点等待我处理时生成提醒。</x:v>
      </x:c>
      <x:c r="E189" s="19" t="str">
        <x:v>审批通过或驳回后提醒消失。</x:v>
      </x:c>
      <x:c r="F189" s="19" t="str">
        <x:v>Approval、currentNode、assignee</x:v>
      </x:c>
      <x:c r="G189" s="19" t="str">
        <x:v>提醒系统</x:v>
      </x:c>
      <x:c r="H189" s="19" t="str">
        <x:v>已在提醒系统体现</x:v>
      </x:c>
      <x:c r="I189" s="19" t="str">
        <x:v>src/app/reminders/adapters/getApprovalReminders.ts</x:v>
      </x:c>
    </x:row>
    <x:row r="190">
      <x:c r="A190" s="19" t="str">
        <x:v>资产管理</x:v>
      </x:c>
      <x:c r="B190" s="19" t="str">
        <x:v>资产总览</x:v>
      </x:c>
      <x:c r="C190" s="19" t="str">
        <x:v>资产摘要</x:v>
      </x:c>
      <x:c r="D190" s="19" t="str">
        <x:v>统计资产总数、正常使用、即将到期、已到期、资产总值和盘点次数。</x:v>
      </x:c>
      <x:c r="E190" s="19" t="str">
        <x:v>用于 IT 资产概览。</x:v>
      </x:c>
      <x:c r="F190" s="19" t="str">
        <x:v>Asset、InventoryRecord</x:v>
      </x:c>
      <x:c r="G190" s="19" t="str">
        <x:v>/assets</x:v>
      </x:c>
      <x:c r="H190" s="19" t="str">
        <x:v>已在前端菜单/页面体现</x:v>
      </x:c>
      <x:c r="I190" s="19" t="str">
        <x:v>src/app/pages/assets/AssetManagement.tsx</x:v>
      </x:c>
    </x:row>
    <x:row r="191">
      <x:c r="A191" s="19" t="str">
        <x:v>资产管理</x:v>
      </x:c>
      <x:c r="B191" s="19" t="str">
        <x:v>资产台账</x:v>
      </x:c>
      <x:c r="C191" s="19" t="str">
        <x:v>全部资产</x:v>
      </x:c>
      <x:c r="D191" s="19" t="str">
        <x:v>维护服务器、域名、SSL、设备、软件许可证等资产。</x:v>
      </x:c>
      <x:c r="E191" s="19" t="str">
        <x:v>按类型 Tab 展示。</x:v>
      </x:c>
      <x:c r="F191" s="19" t="str">
        <x:v>AssetType、assetName、expiryDate</x:v>
      </x:c>
      <x:c r="G191" s="19" t="str">
        <x:v>/assets</x:v>
      </x:c>
      <x:c r="H191" s="19" t="str">
        <x:v>已在前端页面体现</x:v>
      </x:c>
      <x:c r="I191" s="19" t="str">
        <x:v>src/app/pages/assets/AssetManagement.tsx</x:v>
      </x:c>
    </x:row>
    <x:row r="192">
      <x:c r="A192" s="19" t="str">
        <x:v>资产管理</x:v>
      </x:c>
      <x:c r="B192" s="19" t="str">
        <x:v>资产台账</x:v>
      </x:c>
      <x:c r="C192" s="19" t="str">
        <x:v>资产新增/编辑</x:v>
      </x:c>
      <x:c r="D192" s="19" t="str">
        <x:v>新增或编辑资产记录。</x:v>
      </x:c>
      <x:c r="E192" s="19" t="str">
        <x:v>保存后更新资产台账。</x:v>
      </x:c>
      <x:c r="F192" s="19" t="str">
        <x:v>assetName、type、owner、value</x:v>
      </x:c>
      <x:c r="G192" s="19" t="str">
        <x:v>/assets</x:v>
      </x:c>
      <x:c r="H192" s="19" t="str">
        <x:v>已在前端页面体现</x:v>
      </x:c>
      <x:c r="I192" s="19" t="str">
        <x:v>src/app/pages/assets/AssetManagement.tsx</x:v>
      </x:c>
    </x:row>
    <x:row r="193">
      <x:c r="A193" s="19" t="str">
        <x:v>资产管理</x:v>
      </x:c>
      <x:c r="B193" s="19" t="str">
        <x:v>资产台账</x:v>
      </x:c>
      <x:c r="C193" s="19" t="str">
        <x:v>资产删除</x:v>
      </x:c>
      <x:c r="D193" s="19" t="str">
        <x:v>删除不再使用的资产。</x:v>
      </x:c>
      <x:c r="E193" s="19" t="str">
        <x:v>删除前确认。</x:v>
      </x:c>
      <x:c r="F193" s="19" t="str">
        <x:v>assetId</x:v>
      </x:c>
      <x:c r="G193" s="19" t="str">
        <x:v>/assets</x:v>
      </x:c>
      <x:c r="H193" s="19" t="str">
        <x:v>已在前端页面体现</x:v>
      </x:c>
      <x:c r="I193" s="19" t="str">
        <x:v>src/app/pages/assets/AssetManagement.tsx</x:v>
      </x:c>
    </x:row>
    <x:row r="194">
      <x:c r="A194" s="19" t="str">
        <x:v>资产管理</x:v>
      </x:c>
      <x:c r="B194" s="19" t="str">
        <x:v>资产提醒</x:v>
      </x:c>
      <x:c r="C194" s="19" t="str">
        <x:v>到期状态计算</x:v>
      </x:c>
      <x:c r="D194" s="19" t="str">
        <x:v>根据到期日期计算正常、即将到期、已到期状态。</x:v>
      </x:c>
      <x:c r="E194" s="19" t="str">
        <x:v>用于域名、SSL、许可证续费提醒。</x:v>
      </x:c>
      <x:c r="F194" s="19" t="str">
        <x:v>expiryDate、daysUntil、status</x:v>
      </x:c>
      <x:c r="G194" s="19" t="str">
        <x:v>/assets</x:v>
      </x:c>
      <x:c r="H194" s="19" t="str">
        <x:v>已在前端代码体现</x:v>
      </x:c>
      <x:c r="I194" s="19" t="str">
        <x:v>src/app/pages/assets/AssetManagement.tsx</x:v>
      </x:c>
    </x:row>
    <x:row r="195">
      <x:c r="A195" s="19" t="str">
        <x:v>资产管理</x:v>
      </x:c>
      <x:c r="B195" s="19" t="str">
        <x:v>盘点记录</x:v>
      </x:c>
      <x:c r="C195" s="19" t="str">
        <x:v>资产盘点</x:v>
      </x:c>
      <x:c r="D195" s="19" t="str">
        <x:v>记录资产盘点结果。</x:v>
      </x:c>
      <x:c r="E195" s="19" t="str">
        <x:v>展示盘点日期、负责人和差异。</x:v>
      </x:c>
      <x:c r="F195" s="19" t="str">
        <x:v>InventoryRecord、result、owner</x:v>
      </x:c>
      <x:c r="G195" s="19" t="str">
        <x:v>/assets</x:v>
      </x:c>
      <x:c r="H195" s="19" t="str">
        <x:v>已在前端页面体现</x:v>
      </x:c>
      <x:c r="I195" s="19" t="str">
        <x:v>src/app/pages/assets/AssetManagement.tsx</x:v>
      </x:c>
    </x:row>
    <x:row r="196">
      <x:c r="A196" s="19" t="str">
        <x:v>售后运维</x:v>
      </x:c>
      <x:c r="B196" s="19" t="str">
        <x:v>维护期跟踪</x:v>
      </x:c>
      <x:c r="C196" s="19" t="str">
        <x:v>维护期项目</x:v>
      </x:c>
      <x:c r="D196" s="19" t="str">
        <x:v>跟踪项目交付后的免费维护期。</x:v>
      </x:c>
      <x:c r="E196" s="19" t="str">
        <x:v>展示维护中、即将到期、已到期项目。</x:v>
      </x:c>
      <x:c r="F196" s="19" t="str">
        <x:v>MaintenanceRecord、expiryDate、status</x:v>
      </x:c>
      <x:c r="G196" s="19" t="str">
        <x:v>/maintenance</x:v>
      </x:c>
      <x:c r="H196" s="19" t="str">
        <x:v>已在前端菜单/页面体现</x:v>
      </x:c>
      <x:c r="I196" s="19" t="str">
        <x:v>src/app/pages/maintenance/MaintenanceManagement.tsx</x:v>
      </x:c>
    </x:row>
    <x:row r="197">
      <x:c r="A197" s="19" t="str">
        <x:v>售后运维</x:v>
      </x:c>
      <x:c r="B197" s="19" t="str">
        <x:v>维护期跟踪</x:v>
      </x:c>
      <x:c r="C197" s="19" t="str">
        <x:v>到期提醒</x:v>
      </x:c>
      <x:c r="D197" s="19" t="str">
        <x:v>维护期即将到期时提示续费或转付费运维。</x:v>
      </x:c>
      <x:c r="E197" s="19" t="str">
        <x:v>按到期日计算状态。</x:v>
      </x:c>
      <x:c r="F197" s="19" t="str">
        <x:v>daysUntil、renewalStatus</x:v>
      </x:c>
      <x:c r="G197" s="19" t="str">
        <x:v>/maintenance</x:v>
      </x:c>
      <x:c r="H197" s="19" t="str">
        <x:v>已在前端页面体现</x:v>
      </x:c>
      <x:c r="I197" s="19" t="str">
        <x:v>src/app/pages/maintenance/MaintenanceManagement.tsx</x:v>
      </x:c>
    </x:row>
    <x:row r="198">
      <x:c r="A198" s="19" t="str">
        <x:v>售后运维</x:v>
      </x:c>
      <x:c r="B198" s="19" t="str">
        <x:v>客户工单</x:v>
      </x:c>
      <x:c r="C198" s="19" t="str">
        <x:v>工单列表</x:v>
      </x:c>
      <x:c r="D198" s="19" t="str">
        <x:v>记录客户售后问题、优先级和处理状态。</x:v>
      </x:c>
      <x:c r="E198" s="19" t="str">
        <x:v>按待处理和紧急工单统计。</x:v>
      </x:c>
      <x:c r="F198" s="19" t="str">
        <x:v>Ticket、priority、status</x:v>
      </x:c>
      <x:c r="G198" s="19" t="str">
        <x:v>/maintenance</x:v>
      </x:c>
      <x:c r="H198" s="19" t="str">
        <x:v>已在前端页面体现</x:v>
      </x:c>
      <x:c r="I198" s="19" t="str">
        <x:v>src/app/pages/maintenance/MaintenanceManagement.tsx</x:v>
      </x:c>
    </x:row>
    <x:row r="199">
      <x:c r="A199" s="19" t="str">
        <x:v>售后运维</x:v>
      </x:c>
      <x:c r="B199" s="19" t="str">
        <x:v>客户工单</x:v>
      </x:c>
      <x:c r="C199" s="19" t="str">
        <x:v>新建工单</x:v>
      </x:c>
      <x:c r="D199" s="19" t="str">
        <x:v>新增客户问题工单。</x:v>
      </x:c>
      <x:c r="E199" s="19" t="str">
        <x:v>录入客户、项目、问题描述和优先级。</x:v>
      </x:c>
      <x:c r="F199" s="19" t="str">
        <x:v>customer、project、content、priority</x:v>
      </x:c>
      <x:c r="G199" s="19" t="str">
        <x:v>/maintenance</x:v>
      </x:c>
      <x:c r="H199" s="19" t="str">
        <x:v>已在前端页面体现</x:v>
      </x:c>
      <x:c r="I199" s="19" t="str">
        <x:v>src/app/pages/maintenance/MaintenanceManagement.tsx</x:v>
      </x:c>
    </x:row>
    <x:row r="200">
      <x:c r="A200" s="19" t="str">
        <x:v>售后运维</x:v>
      </x:c>
      <x:c r="B200" s="19" t="str">
        <x:v>续费合同</x:v>
      </x:c>
      <x:c r="C200" s="19" t="str">
        <x:v>续费合同列表</x:v>
      </x:c>
      <x:c r="D200" s="19" t="str">
        <x:v>查看维护期满后的付费续约合同。</x:v>
      </x:c>
      <x:c r="E200" s="19" t="str">
        <x:v>用于售后续费跟进。</x:v>
      </x:c>
      <x:c r="F200" s="19" t="str">
        <x:v>RenewalContract、amount、status</x:v>
      </x:c>
      <x:c r="G200" s="19" t="str">
        <x:v>/maintenance</x:v>
      </x:c>
      <x:c r="H200" s="19" t="str">
        <x:v>已在前端页面体现</x:v>
      </x:c>
      <x:c r="I200" s="19" t="str">
        <x:v>src/app/pages/maintenance/MaintenanceManagement.tsx</x:v>
      </x:c>
    </x:row>
    <x:row r="201">
      <x:c r="A201" s="19" t="str">
        <x:v>供应商管理</x:v>
      </x:c>
      <x:c r="B201" s="19" t="str">
        <x:v>供应商档案</x:v>
      </x:c>
      <x:c r="C201" s="19" t="str">
        <x:v>供应商列表/卡片</x:v>
      </x:c>
      <x:c r="D201" s="19" t="str">
        <x:v>维护公司或个人供应商档案。</x:v>
      </x:c>
      <x:c r="E201" s="19" t="str">
        <x:v>支持新增、编辑、删除。</x:v>
      </x:c>
      <x:c r="F201" s="19" t="str">
        <x:v>Supplier、skills、rating</x:v>
      </x:c>
      <x:c r="G201" s="19" t="str">
        <x:v>/suppliers</x:v>
      </x:c>
      <x:c r="H201" s="19" t="str">
        <x:v>已在前端菜单/页面体现</x:v>
      </x:c>
      <x:c r="I201" s="19" t="str">
        <x:v>src/app/pages/suppliers/SupplierManagement.tsx</x:v>
      </x:c>
    </x:row>
    <x:row r="202">
      <x:c r="A202" s="19" t="str">
        <x:v>供应商管理</x:v>
      </x:c>
      <x:c r="B202" s="19" t="str">
        <x:v>供应商档案</x:v>
      </x:c>
      <x:c r="C202" s="19" t="str">
        <x:v>技能标签和评级</x:v>
      </x:c>
      <x:c r="D202" s="19" t="str">
        <x:v>记录供应商技能标签和合作评级。</x:v>
      </x:c>
      <x:c r="E202" s="19" t="str">
        <x:v>用于分包选择。</x:v>
      </x:c>
      <x:c r="F202" s="19" t="str">
        <x:v>skillTags、rating</x:v>
      </x:c>
      <x:c r="G202" s="19" t="str">
        <x:v>/suppliers</x:v>
      </x:c>
      <x:c r="H202" s="19" t="str">
        <x:v>已在前端页面体现</x:v>
      </x:c>
      <x:c r="I202" s="19" t="str">
        <x:v>src/app/pages/suppliers/SupplierManagement.tsx</x:v>
      </x:c>
    </x:row>
    <x:row r="203">
      <x:c r="A203" s="19" t="str">
        <x:v>供应商管理</x:v>
      </x:c>
      <x:c r="B203" s="19" t="str">
        <x:v>分包合同</x:v>
      </x:c>
      <x:c r="C203" s="19" t="str">
        <x:v>分包合同列表</x:v>
      </x:c>
      <x:c r="D203" s="19" t="str">
        <x:v>记录项目分包合同。</x:v>
      </x:c>
      <x:c r="E203" s="19" t="str">
        <x:v>展示合同金额、项目、供应商。</x:v>
      </x:c>
      <x:c r="F203" s="19" t="str">
        <x:v>Subcontract、supplierId、projectId、amount</x:v>
      </x:c>
      <x:c r="G203" s="19" t="str">
        <x:v>/suppliers</x:v>
      </x:c>
      <x:c r="H203" s="19" t="str">
        <x:v>已在前端页面体现</x:v>
      </x:c>
      <x:c r="I203" s="19" t="str">
        <x:v>src/app/pages/suppliers/SupplierManagement.tsx</x:v>
      </x:c>
    </x:row>
    <x:row r="204">
      <x:c r="A204" s="19" t="str">
        <x:v>供应商管理</x:v>
      </x:c>
      <x:c r="B204" s="19" t="str">
        <x:v>付款记录</x:v>
      </x:c>
      <x:c r="C204" s="19" t="str">
        <x:v>供应商付款记录</x:v>
      </x:c>
      <x:c r="D204" s="19" t="str">
        <x:v>记录已付和未付供应商款项。</x:v>
      </x:c>
      <x:c r="E204" s="19" t="str">
        <x:v>用于财务付款跟踪。</x:v>
      </x:c>
      <x:c r="F204" s="19" t="str">
        <x:v>SupplierPayment、paidAmount、status</x:v>
      </x:c>
      <x:c r="G204" s="19" t="str">
        <x:v>/suppliers</x:v>
      </x:c>
      <x:c r="H204" s="19" t="str">
        <x:v>已在前端页面体现</x:v>
      </x:c>
      <x:c r="I204" s="19" t="str">
        <x:v>src/app/pages/suppliers/SupplierManagement.tsx</x:v>
      </x:c>
    </x:row>
    <x:row r="205">
      <x:c r="A205" s="19" t="str">
        <x:v>供应商管理</x:v>
      </x:c>
      <x:c r="B205" s="19" t="str">
        <x:v>供应商总览</x:v>
      </x:c>
      <x:c r="C205" s="19" t="str">
        <x:v>供应商财务摘要</x:v>
      </x:c>
      <x:c r="D205" s="19" t="str">
        <x:v>统计供应商数、分包合同、合同总额、已付、未付、平均评级。</x:v>
      </x:c>
      <x:c r="E205" s="19" t="str">
        <x:v>作为供应商管理看板。</x:v>
      </x:c>
      <x:c r="F205" s="19" t="str">
        <x:v>summary metrics</x:v>
      </x:c>
      <x:c r="G205" s="19" t="str">
        <x:v>/suppliers</x:v>
      </x:c>
      <x:c r="H205" s="19" t="str">
        <x:v>已在前端页面体现</x:v>
      </x:c>
      <x:c r="I205" s="19" t="str">
        <x:v>src/app/pages/suppliers/SupplierManagement.tsx</x:v>
      </x:c>
    </x:row>
    <x:row r="206">
      <x:c r="A206" s="19" t="str">
        <x:v>知识库</x:v>
      </x:c>
      <x:c r="B206" s="19" t="str">
        <x:v>文档管理</x:v>
      </x:c>
      <x:c r="C206" s="19" t="str">
        <x:v>全部文档</x:v>
      </x:c>
      <x:c r="D206" s="19" t="str">
        <x:v>集中管理公司文档。</x:v>
      </x:c>
      <x:c r="E206" s="19" t="str">
        <x:v>按全部、技术方案、SOP、模板、复盘分类。</x:v>
      </x:c>
      <x:c r="F206" s="19" t="str">
        <x:v>Document、category、tags</x:v>
      </x:c>
      <x:c r="G206" s="19" t="str">
        <x:v>/knowledge</x:v>
      </x:c>
      <x:c r="H206" s="19" t="str">
        <x:v>已在前端菜单/页面体现</x:v>
      </x:c>
      <x:c r="I206" s="19" t="str">
        <x:v>src/app/pages/knowledge/KnowledgeBase.tsx</x:v>
      </x:c>
    </x:row>
    <x:row r="207">
      <x:c r="A207" s="19" t="str">
        <x:v>知识库</x:v>
      </x:c>
      <x:c r="B207" s="19" t="str">
        <x:v>文档管理</x:v>
      </x:c>
      <x:c r="C207" s="19" t="str">
        <x:v>新建/编辑文档</x:v>
      </x:c>
      <x:c r="D207" s="19" t="str">
        <x:v>新增或编辑知识库文档。</x:v>
      </x:c>
      <x:c r="E207" s="19" t="str">
        <x:v>支持标题、分类、标签、内容等字段。</x:v>
      </x:c>
      <x:c r="F207" s="19" t="str">
        <x:v>title、category、content、tags</x:v>
      </x:c>
      <x:c r="G207" s="19" t="str">
        <x:v>/knowledge</x:v>
      </x:c>
      <x:c r="H207" s="19" t="str">
        <x:v>已在前端页面体现</x:v>
      </x:c>
      <x:c r="I207" s="19" t="str">
        <x:v>src/app/pages/knowledge/KnowledgeBase.tsx</x:v>
      </x:c>
    </x:row>
    <x:row r="208">
      <x:c r="A208" s="19" t="str">
        <x:v>知识库</x:v>
      </x:c>
      <x:c r="B208" s="19" t="str">
        <x:v>文档管理</x:v>
      </x:c>
      <x:c r="C208" s="19" t="str">
        <x:v>文档详情</x:v>
      </x:c>
      <x:c r="D208" s="19" t="str">
        <x:v>查看知识库文档详情和阅读信息。</x:v>
      </x:c>
      <x:c r="E208" s="19" t="str">
        <x:v>点击文档标题打开详情弹窗。</x:v>
      </x:c>
      <x:c r="F208" s="19" t="str">
        <x:v>Document detail、views</x:v>
      </x:c>
      <x:c r="G208" s="19" t="str">
        <x:v>/knowledge</x:v>
      </x:c>
      <x:c r="H208" s="19" t="str">
        <x:v>已在前端页面体现</x:v>
      </x:c>
      <x:c r="I208" s="19" t="str">
        <x:v>src/app/pages/knowledge/KnowledgeBase.tsx</x:v>
      </x:c>
    </x:row>
    <x:row r="209">
      <x:c r="A209" s="19" t="str">
        <x:v>知识库</x:v>
      </x:c>
      <x:c r="B209" s="19" t="str">
        <x:v>模板库</x:v>
      </x:c>
      <x:c r="C209" s="19" t="str">
        <x:v>模板使用</x:v>
      </x:c>
      <x:c r="D209" s="19" t="str">
        <x:v>提供技术方案、报价、SOP 等模板。</x:v>
      </x:c>
      <x:c r="E209" s="19" t="str">
        <x:v>模板卡片支持使用模板。</x:v>
      </x:c>
      <x:c r="F209" s="19" t="str">
        <x:v>Template、templateType</x:v>
      </x:c>
      <x:c r="G209" s="19" t="str">
        <x:v>/knowledge</x:v>
      </x:c>
      <x:c r="H209" s="19" t="str">
        <x:v>已在前端页面体现</x:v>
      </x:c>
      <x:c r="I209" s="19" t="str">
        <x:v>src/app/pages/knowledge/KnowledgeBase.tsx</x:v>
      </x:c>
    </x:row>
    <x:row r="210">
      <x:c r="A210" s="19" t="str">
        <x:v>知识库</x:v>
      </x:c>
      <x:c r="B210" s="19" t="str">
        <x:v>项目复盘</x:v>
      </x:c>
      <x:c r="C210" s="19" t="str">
        <x:v>项目复盘文档</x:v>
      </x:c>
      <x:c r="D210" s="19" t="str">
        <x:v>项目结束后沉淀复盘文档。</x:v>
      </x:c>
      <x:c r="E210" s="19" t="str">
        <x:v>作为知识沉淀扩展。</x:v>
      </x:c>
      <x:c r="F210" s="19" t="str">
        <x:v>reviewDocument、projectId</x:v>
      </x:c>
      <x:c r="G210" s="19" t="str">
        <x:v>/knowledge</x:v>
      </x:c>
      <x:c r="H210" s="19" t="str">
        <x:v>已在前端/规划体现</x:v>
      </x:c>
      <x:c r="I210" s="19" t="str">
        <x:v>docs/superpowers/specs/2026-06-30-hubx-development-plan.md</x:v>
      </x:c>
    </x:row>
    <x:row r="211">
      <x:c r="A211" s="19" t="str">
        <x:v>知识库</x:v>
      </x:c>
      <x:c r="B211" s="19" t="str">
        <x:v>知识库总览</x:v>
      </x:c>
      <x:c r="C211" s="19" t="str">
        <x:v>知识统计</x:v>
      </x:c>
      <x:c r="D211" s="19" t="str">
        <x:v>统计文档总数、技术方案、SOP、模板、复盘和总阅读量。</x:v>
      </x:c>
      <x:c r="E211" s="19" t="str">
        <x:v>作为知识库摘要。</x:v>
      </x:c>
      <x:c r="F211" s="19" t="str">
        <x:v>summary metrics</x:v>
      </x:c>
      <x:c r="G211" s="19" t="str">
        <x:v>/knowledge</x:v>
      </x:c>
      <x:c r="H211" s="19" t="str">
        <x:v>已在前端页面体现</x:v>
      </x:c>
      <x:c r="I211" s="19" t="str">
        <x:v>src/app/pages/knowledge/KnowledgeBase.tsx</x:v>
      </x:c>
    </x:row>
    <x:row r="212">
      <x:c r="A212" s="19" t="str">
        <x:v>会议管理</x:v>
      </x:c>
      <x:c r="B212" s="19" t="str">
        <x:v>会议安排</x:v>
      </x:c>
      <x:c r="C212" s="19" t="str">
        <x:v>会议列表</x:v>
      </x:c>
      <x:c r="D212" s="19" t="str">
        <x:v>维护会议主题、时间、地点、参会人、状态。</x:v>
      </x:c>
      <x:c r="E212" s="19" t="str">
        <x:v>支持预约、编辑、取消会议。</x:v>
      </x:c>
      <x:c r="F212" s="19" t="str">
        <x:v>Meeting、roomId、participants、status</x:v>
      </x:c>
      <x:c r="G212" s="19" t="str">
        <x:v>/meetings</x:v>
      </x:c>
      <x:c r="H212" s="19" t="str">
        <x:v>已在前端菜单/页面体现</x:v>
      </x:c>
      <x:c r="I212" s="19" t="str">
        <x:v>src/app/pages/meetings/MeetingManagement.tsx</x:v>
      </x:c>
    </x:row>
    <x:row r="213">
      <x:c r="A213" s="19" t="str">
        <x:v>会议管理</x:v>
      </x:c>
      <x:c r="B213" s="19" t="str">
        <x:v>会议安排</x:v>
      </x:c>
      <x:c r="C213" s="19" t="str">
        <x:v>预约会议</x:v>
      </x:c>
      <x:c r="D213" s="19" t="str">
        <x:v>新建会议安排。</x:v>
      </x:c>
      <x:c r="E213" s="19" t="str">
        <x:v>录入主题、时间、会议室和参会人。</x:v>
      </x:c>
      <x:c r="F213" s="19" t="str">
        <x:v>title、startTime、endTime、roomId</x:v>
      </x:c>
      <x:c r="G213" s="19" t="str">
        <x:v>/meetings</x:v>
      </x:c>
      <x:c r="H213" s="19" t="str">
        <x:v>已在前端页面体现</x:v>
      </x:c>
      <x:c r="I213" s="19" t="str">
        <x:v>src/app/pages/meetings/MeetingManagement.tsx</x:v>
      </x:c>
    </x:row>
    <x:row r="214">
      <x:c r="A214" s="19" t="str">
        <x:v>会议管理</x:v>
      </x:c>
      <x:c r="B214" s="19" t="str">
        <x:v>会议室管理</x:v>
      </x:c>
      <x:c r="C214" s="19" t="str">
        <x:v>会议室列表</x:v>
      </x:c>
      <x:c r="D214" s="19" t="str">
        <x:v>维护会议室资源。</x:v>
      </x:c>
      <x:c r="E214" s="19" t="str">
        <x:v>支持新增、编辑、删除会议室。</x:v>
      </x:c>
      <x:c r="F214" s="19" t="str">
        <x:v>MeetingRoom、capacity、equipment</x:v>
      </x:c>
      <x:c r="G214" s="19" t="str">
        <x:v>/meetings</x:v>
      </x:c>
      <x:c r="H214" s="19" t="str">
        <x:v>已在前端页面体现</x:v>
      </x:c>
      <x:c r="I214" s="19" t="str">
        <x:v>src/app/pages/meetings/MeetingManagement.tsx</x:v>
      </x:c>
    </x:row>
    <x:row r="215">
      <x:c r="A215" s="19" t="str">
        <x:v>会议管理</x:v>
      </x:c>
      <x:c r="B215" s="19" t="str">
        <x:v>会议记录</x:v>
      </x:c>
      <x:c r="C215" s="19" t="str">
        <x:v>会议纪要</x:v>
      </x:c>
      <x:c r="D215" s="19" t="str">
        <x:v>记录会议决议和行动项。</x:v>
      </x:c>
      <x:c r="E215" s="19" t="str">
        <x:v>行动项含负责人、截止日期和状态。</x:v>
      </x:c>
      <x:c r="F215" s="19" t="str">
        <x:v>MeetingMinute、actions</x:v>
      </x:c>
      <x:c r="G215" s="19" t="str">
        <x:v>/meetings</x:v>
      </x:c>
      <x:c r="H215" s="19" t="str">
        <x:v>已在前端页面体现</x:v>
      </x:c>
      <x:c r="I215" s="19" t="str">
        <x:v>src/app/pages/meetings/MeetingManagement.tsx</x:v>
      </x:c>
    </x:row>
    <x:row r="216">
      <x:c r="A216" s="19" t="str">
        <x:v>会议管理</x:v>
      </x:c>
      <x:c r="B216" s="19" t="str">
        <x:v>会议总览</x:v>
      </x:c>
      <x:c r="C216" s="19" t="str">
        <x:v>会议统计</x:v>
      </x:c>
      <x:c r="D216" s="19" t="str">
        <x:v>统计会议室、空闲会议室、今日会议、待开会议、会议总数、已完成。</x:v>
      </x:c>
      <x:c r="E216" s="19" t="str">
        <x:v>作为会议管理摘要。</x:v>
      </x:c>
      <x:c r="F216" s="19" t="str">
        <x:v>summary metrics</x:v>
      </x:c>
      <x:c r="G216" s="19" t="str">
        <x:v>/meetings</x:v>
      </x:c>
      <x:c r="H216" s="19" t="str">
        <x:v>已在前端页面体现</x:v>
      </x:c>
      <x:c r="I216" s="19" t="str">
        <x:v>src/app/pages/meetings/MeetingManagement.tsx</x:v>
      </x:c>
    </x:row>
    <x:row r="217">
      <x:c r="A217" s="19" t="str">
        <x:v>全链路 ROI</x:v>
      </x:c>
      <x:c r="B217" s="19" t="str">
        <x:v>漏斗分析</x:v>
      </x:c>
      <x:c r="C217" s="19" t="str">
        <x:v>销售漏斗</x:v>
      </x:c>
      <x:c r="D217" s="19" t="str">
        <x:v>分析广告消耗到线索、合同、项目利润的转化。</x:v>
      </x:c>
      <x:c r="E217" s="19" t="str">
        <x:v>展示各阶段转化率。</x:v>
      </x:c>
      <x:c r="F217" s="19" t="str">
        <x:v>FunnelData、stage、conversionRate</x:v>
      </x:c>
      <x:c r="G217" s="19" t="str">
        <x:v>/roi</x:v>
      </x:c>
      <x:c r="H217" s="19" t="str">
        <x:v>已在前端菜单/页面体现</x:v>
      </x:c>
      <x:c r="I217" s="19" t="str">
        <x:v>src/app/pages/roi/FullChainROI.tsx</x:v>
      </x:c>
    </x:row>
    <x:row r="218">
      <x:c r="A218" s="19" t="str">
        <x:v>全链路 ROI</x:v>
      </x:c>
      <x:c r="B218" s="19" t="str">
        <x:v>渠道 ROI</x:v>
      </x:c>
      <x:c r="C218" s="19" t="str">
        <x:v>渠道 ROI 分析</x:v>
      </x:c>
      <x:c r="D218" s="19" t="str">
        <x:v>按百度、小红书、抖音等渠道计算营收、利润和 ROI。</x:v>
      </x:c>
      <x:c r="E218" s="19" t="str">
        <x:v>用于投放预算决策。</x:v>
      </x:c>
      <x:c r="F218" s="19" t="str">
        <x:v>ChannelROI、spend、revenue、profit</x:v>
      </x:c>
      <x:c r="G218" s="19" t="str">
        <x:v>/roi</x:v>
      </x:c>
      <x:c r="H218" s="19" t="str">
        <x:v>已在前端页面体现</x:v>
      </x:c>
      <x:c r="I218" s="19" t="str">
        <x:v>src/app/pages/roi/FullChainROI.tsx</x:v>
      </x:c>
    </x:row>
    <x:row r="219">
      <x:c r="A219" s="19" t="str">
        <x:v>全链路 ROI</x:v>
      </x:c>
      <x:c r="B219" s="19" t="str">
        <x:v>人员 ROI</x:v>
      </x:c>
      <x:c r="C219" s="19" t="str">
        <x:v>销售人员 ROI</x:v>
      </x:c>
      <x:c r="D219" s="19" t="str">
        <x:v>按销售人员统计线索转化率、合同金额和利润。</x:v>
      </x:c>
      <x:c r="E219" s="19" t="str">
        <x:v>用于销售绩效分析。</x:v>
      </x:c>
      <x:c r="F219" s="19" t="str">
        <x:v>PersonROI、leadCount、contractAmount</x:v>
      </x:c>
      <x:c r="G219" s="19" t="str">
        <x:v>/roi</x:v>
      </x:c>
      <x:c r="H219" s="19" t="str">
        <x:v>已在前端页面体现</x:v>
      </x:c>
      <x:c r="I219" s="19" t="str">
        <x:v>src/app/pages/roi/FullChainROI.tsx</x:v>
      </x:c>
    </x:row>
    <x:row r="220">
      <x:c r="A220" s="19" t="str">
        <x:v>全链路 ROI</x:v>
      </x:c>
      <x:c r="B220" s="19" t="str">
        <x:v>项目 ROI</x:v>
      </x:c>
      <x:c r="C220" s="19" t="str">
        <x:v>项目类型 ROI</x:v>
      </x:c>
      <x:c r="D220" s="19" t="str">
        <x:v>按项目类型分析利润率和 ROI。</x:v>
      </x:c>
      <x:c r="E220" s="19" t="str">
        <x:v>辅助报价和业务方向判断。</x:v>
      </x:c>
      <x:c r="F220" s="19" t="str">
        <x:v>ProjectROI、projectType、margin</x:v>
      </x:c>
      <x:c r="G220" s="19" t="str">
        <x:v>/roi</x:v>
      </x:c>
      <x:c r="H220" s="19" t="str">
        <x:v>已在前端页面体现</x:v>
      </x:c>
      <x:c r="I220" s="19" t="str">
        <x:v>src/app/pages/roi/FullChainROI.tsx</x:v>
      </x:c>
    </x:row>
    <x:row r="221">
      <x:c r="A221" s="19" t="str">
        <x:v>全链路 ROI</x:v>
      </x:c>
      <x:c r="B221" s="19" t="str">
        <x:v>ROI 总览</x:v>
      </x:c>
      <x:c r="C221" s="19" t="str">
        <x:v>经营指标摘要</x:v>
      </x:c>
      <x:c r="D221" s="19" t="str">
        <x:v>展示广告总消耗、总营收、总利润、平均利润率、总线索数和整体 ROI。</x:v>
      </x:c>
      <x:c r="E221" s="19" t="str">
        <x:v>作为经营分析入口。</x:v>
      </x:c>
      <x:c r="F221" s="19" t="str">
        <x:v>totalSpend、revenue、profit、roi</x:v>
      </x:c>
      <x:c r="G221" s="19" t="str">
        <x:v>/roi</x:v>
      </x:c>
      <x:c r="H221" s="19" t="str">
        <x:v>已在前端页面体现</x:v>
      </x:c>
      <x:c r="I221" s="19" t="str">
        <x:v>src/app/pages/roi/FullChainROI.tsx</x:v>
      </x:c>
    </x:row>
    <x:row r="222">
      <x:c r="A222" s="19" t="str">
        <x:v>AI 智能助手</x:v>
      </x:c>
      <x:c r="B222" s="19" t="str">
        <x:v>智能任务拆解</x:v>
      </x:c>
      <x:c r="C222" s="19" t="str">
        <x:v>合同任务自动拆解</x:v>
      </x:c>
      <x:c r="D222" s="19" t="str">
        <x:v>根据合同 SOW 自动拆解项目任务。</x:v>
      </x:c>
      <x:c r="E222" s="19" t="str">
        <x:v>任务可进入待分配或执行状态。</x:v>
      </x:c>
      <x:c r="F222" s="19" t="str">
        <x:v>AutoTask、contractId、taskTitle</x:v>
      </x:c>
      <x:c r="G222" s="19" t="str">
        <x:v>/ai</x:v>
      </x:c>
      <x:c r="H222" s="19" t="str">
        <x:v>已在前端菜单/页面体现</x:v>
      </x:c>
      <x:c r="I222" s="19" t="str">
        <x:v>src/app/pages/ai/AIDriven.tsx</x:v>
      </x:c>
    </x:row>
    <x:row r="223">
      <x:c r="A223" s="19" t="str">
        <x:v>AI 智能助手</x:v>
      </x:c>
      <x:c r="B223" s="19" t="str">
        <x:v>智能人员分配</x:v>
      </x:c>
      <x:c r="C223" s="19" t="str">
        <x:v>人员匹配推荐</x:v>
      </x:c>
      <x:c r="D223" s="19" t="str">
        <x:v>按技能、能力、负载匹配项目任务候选人。</x:v>
      </x:c>
      <x:c r="E223" s="19" t="str">
        <x:v>可查看匹配详情和得分。</x:v>
      </x:c>
      <x:c r="F223" s="19" t="str">
        <x:v>PersonnelMatch、candidate、matchScore</x:v>
      </x:c>
      <x:c r="G223" s="19" t="str">
        <x:v>/ai</x:v>
      </x:c>
      <x:c r="H223" s="19" t="str">
        <x:v>已在前端页面体现</x:v>
      </x:c>
      <x:c r="I223" s="19" t="str">
        <x:v>src/app/pages/ai/AIDriven.tsx</x:v>
      </x:c>
    </x:row>
    <x:row r="224">
      <x:c r="A224" s="19" t="str">
        <x:v>AI 智能助手</x:v>
      </x:c>
      <x:c r="B224" s="19" t="str">
        <x:v>智能跟进提醒</x:v>
      </x:c>
      <x:c r="C224" s="19" t="str">
        <x:v>项目节点风险提醒</x:v>
      </x:c>
      <x:c r="D224" s="19" t="str">
        <x:v>识别高风险项目节点并提出处理建议。</x:v>
      </x:c>
      <x:c r="E224" s="19" t="str">
        <x:v>高风险节点显示红色提醒。</x:v>
      </x:c>
      <x:c r="F224" s="19" t="str">
        <x:v>MilestoneReminder、risk、suggestion</x:v>
      </x:c>
      <x:c r="G224" s="19" t="str">
        <x:v>/ai</x:v>
      </x:c>
      <x:c r="H224" s="19" t="str">
        <x:v>已在前端页面体现</x:v>
      </x:c>
      <x:c r="I224" s="19" t="str">
        <x:v>src/app/pages/ai/AIDriven.tsx</x:v>
      </x:c>
    </x:row>
    <x:row r="225">
      <x:c r="A225" s="19" t="str">
        <x:v>AI 智能助手</x:v>
      </x:c>
      <x:c r="B225" s="19" t="str">
        <x:v>智能会议安排</x:v>
      </x:c>
      <x:c r="C225" s="19" t="str">
        <x:v>自动会议建议</x:v>
      </x:c>
      <x:c r="D225" s="19" t="str">
        <x:v>根据项目阶段建议评审、验收等会议。</x:v>
      </x:c>
      <x:c r="E225" s="19" t="str">
        <x:v>可确认安排或忽略。</x:v>
      </x:c>
      <x:c r="F225" s="19" t="str">
        <x:v>AutoMeeting、suggestedTime、participants</x:v>
      </x:c>
      <x:c r="G225" s="19" t="str">
        <x:v>/ai</x:v>
      </x:c>
      <x:c r="H225" s="19" t="str">
        <x:v>已在前端页面体现</x:v>
      </x:c>
      <x:c r="I225" s="19" t="str">
        <x:v>src/app/pages/ai/AIDriven.tsx</x:v>
      </x:c>
    </x:row>
    <x:row r="226">
      <x:c r="A226" s="19" t="str">
        <x:v>AI 智能助手</x:v>
      </x:c>
      <x:c r="B226" s="19" t="str">
        <x:v>AI 总览</x:v>
      </x:c>
      <x:c r="C226" s="19" t="str">
        <x:v>AI 能力摘要</x:v>
      </x:c>
      <x:c r="D226" s="19" t="str">
        <x:v>统计 AI 拆解任务、已分配任务、高风险节点、待确认会议、人员匹配和 AI 建议数。</x:v>
      </x:c>
      <x:c r="E226" s="19" t="str">
        <x:v>作为智能化入口摘要。</x:v>
      </x:c>
      <x:c r="F226" s="19" t="str">
        <x:v>summary metrics</x:v>
      </x:c>
      <x:c r="G226" s="19" t="str">
        <x:v>/ai</x:v>
      </x:c>
      <x:c r="H226" s="19" t="str">
        <x:v>已在前端页面体现</x:v>
      </x:c>
      <x:c r="I226" s="19" t="str">
        <x:v>src/app/pages/ai/AIDriven.tsx</x:v>
      </x:c>
    </x:row>
    <x:row r="227">
      <x:c r="A227" s="19" t="str">
        <x:v>数据报表</x:v>
      </x:c>
      <x:c r="B227" s="19" t="str">
        <x:v>销售报表</x:v>
      </x:c>
      <x:c r="C227" s="19" t="str">
        <x:v>销售数据报表</x:v>
      </x:c>
      <x:c r="D227" s="19" t="str">
        <x:v>展示销售相关经营报表。</x:v>
      </x:c>
      <x:c r="E227" s="19" t="str">
        <x:v>作为 CRM 数据洞察入口。</x:v>
      </x:c>
      <x:c r="F227" s="19" t="str">
        <x:v>salesMetrics、reportData</x:v>
      </x:c>
      <x:c r="G227" s="19" t="str">
        <x:v>/reports</x:v>
      </x:c>
      <x:c r="H227" s="19" t="str">
        <x:v>已在前端菜单/页面体现</x:v>
      </x:c>
      <x:c r="I227" s="19" t="str">
        <x:v>src/app/pages/Reports.tsx</x:v>
      </x:c>
    </x:row>
    <x:row r="228">
      <x:c r="A228" s="19" t="str">
        <x:v>数据报表</x:v>
      </x:c>
      <x:c r="B228" s="19" t="str">
        <x:v>销售漏斗</x:v>
      </x:c>
      <x:c r="C228" s="19" t="str">
        <x:v>销售漏斗分析</x:v>
      </x:c>
      <x:c r="D228" s="19" t="str">
        <x:v>统计线索从公海到签单各阶段转化率。</x:v>
      </x:c>
      <x:c r="E228" s="19" t="str">
        <x:v>用于识别转化瓶颈。</x:v>
      </x:c>
      <x:c r="F228" s="19" t="str">
        <x:v>stage、leadCount、conversionRate</x:v>
      </x:c>
      <x:c r="G228" s="19" t="str">
        <x:v>/reports; /roi</x:v>
      </x:c>
      <x:c r="H228" s="19" t="str">
        <x:v>规划/页面体现</x:v>
      </x:c>
      <x:c r="I228" s="19" t="str">
        <x:v>src/imports/销售管理系统功能规划.md</x:v>
      </x:c>
    </x:row>
    <x:row r="229">
      <x:c r="A229" s="19" t="str">
        <x:v>数据报表</x:v>
      </x:c>
      <x:c r="B229" s="19" t="str">
        <x:v>销售业绩</x:v>
      </x:c>
      <x:c r="C229" s="19" t="str">
        <x:v>人员/部门业绩报表</x:v>
      </x:c>
      <x:c r="D229" s="19" t="str">
        <x:v>按人员或部门统计销售额、回款率和跟进效率。</x:v>
      </x:c>
      <x:c r="E229" s="19" t="str">
        <x:v>管理层用于绩效分析。</x:v>
      </x:c>
      <x:c r="F229" s="19" t="str">
        <x:v>salesAmount、collectionRate、followEfficiency</x:v>
      </x:c>
      <x:c r="G229" s="19" t="str">
        <x:v>/reports</x:v>
      </x:c>
      <x:c r="H229" s="19" t="str">
        <x:v>规划提及</x:v>
      </x:c>
      <x:c r="I229" s="19" t="str">
        <x:v>src/imports/销售管理系统功能规划.md</x:v>
      </x:c>
    </x:row>
    <x:row r="230">
      <x:c r="A230" s="19" t="str">
        <x:v>数据报表</x:v>
      </x:c>
      <x:c r="B230" s="19" t="str">
        <x:v>成本利润</x:v>
      </x:c>
      <x:c r="C230" s="19" t="str">
        <x:v>成本利润分析</x:v>
      </x:c>
      <x:c r="D230" s="19" t="str">
        <x:v>分析项目投入产出比和利润率。</x:v>
      </x:c>
      <x:c r="E230" s="19" t="str">
        <x:v>与财务项目成本、ROI 模块联动。</x:v>
      </x:c>
      <x:c r="F230" s="19" t="str">
        <x:v>cost、revenue、profitMargin</x:v>
      </x:c>
      <x:c r="G230" s="19" t="str">
        <x:v>/reports; /finance/project-cost; /roi</x:v>
      </x:c>
      <x:c r="H230" s="19" t="str">
        <x:v>规划/页面体现</x:v>
      </x:c>
      <x:c r="I230" s="19" t="str">
        <x:v>src/imports/销售管理系统功能规划.md</x:v>
      </x:c>
    </x:row>
  </x:sheetData>
  <x:mergeCells>
    <x:mergeCell ref="A1:I1"/>
    <x:mergeCell ref="A2:I2"/>
  </x:mergeCells>
  <x:dataValidations count="1">
    <x:dataValidation type="list" sqref="H5:H230">
      <x:formula1>"已在前端菜单/页面体现,已在前端页面体现,已在前端代码体现,已在提醒系统体现,已在菜单/规划体现,规划提及,需求文档提及,占位/规划体现,规划/页面体现,已在前端/设计体现,已在前端/需求体现,设计文档提及"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1d5e29768247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28" hidden="0" customWidth="1"/>
    <x:col min="5" max="5" width="42" hidden="0" customWidth="1"/>
  </x:cols>
  <x:sheetData>
    <x:row r="1" ht="25.5" customHeight="1">
      <x:c r="A1" s="22" t="str">
        <x:v>HubX OA 系统功能清单 - 导航映射</x:v>
      </x:c>
      <x:c r="B1" s="22" t="str">
        <x:v>HubX OA 系统功能清单 - 导航映射</x:v>
      </x:c>
      <x:c r="C1" s="22" t="str">
        <x:v>HubX OA 系统功能清单 - 导航映射</x:v>
      </x:c>
      <x:c r="D1" s="22" t="str">
        <x:v>HubX OA 系统功能清单 - 导航映射</x:v>
      </x:c>
      <x:c r="E1" s="22" t="str">
        <x:v>HubX OA 系统功能清单 - 导航映射</x:v>
      </x:c>
    </x:row>
    <x:row r="2" ht="21" customHeight="1">
      <x:c r="A2" s="23" t="str">
        <x:v>从 routes.tsx 与 MainLayout.tsx 整理的页面入口，用于快速定位功能实现位置。</x:v>
      </x:c>
      <x:c r="B2" s="23" t="str">
        <x:v>从 routes.tsx 与 MainLayout.tsx 整理的页面入口，用于快速定位功能实现位置。</x:v>
      </x:c>
      <x:c r="C2" s="23" t="str">
        <x:v>从 routes.tsx 与 MainLayout.tsx 整理的页面入口，用于快速定位功能实现位置。</x:v>
      </x:c>
      <x:c r="D2" s="23" t="str">
        <x:v>从 routes.tsx 与 MainLayout.tsx 整理的页面入口，用于快速定位功能实现位置。</x:v>
      </x:c>
      <x:c r="E2" s="23" t="str">
        <x:v>从 routes.tsx 与 MainLayout.tsx 整理的页面入口，用于快速定位功能实现位置。</x:v>
      </x:c>
      <x:c r="F2" s="9" t="str">
        <x:v>从 routes.tsx 与 MainLayout.tsx 整理的页面入口，用于快速定位功能实现位置。</x:v>
      </x:c>
      <x:c r="G2" s="9" t="str">
        <x:v>从 routes.tsx 与 MainLayout.tsx 整理的页面入口，用于快速定位功能实现位置。</x:v>
      </x:c>
      <x:c r="H2" s="9" t="str">
        <x:v>从 routes.tsx 与 MainLayout.tsx 整理的页面入口，用于快速定位功能实现位置。</x:v>
      </x:c>
      <x:c r="I2" s="9" t="str">
        <x:v>从 routes.tsx 与 MainLayout.tsx 整理的页面入口，用于快速定位功能实现位置。</x:v>
      </x:c>
    </x:row>
    <x:row r="3">
      <x:c r="A3" s="24"/>
      <x:c r="B3" s="24"/>
      <x:c r="C3" s="24"/>
      <x:c r="D3" s="24"/>
      <x:c r="E3" s="24"/>
    </x:row>
    <x:row r="4">
      <x:c r="A4" s="18" t="str">
        <x:v>一级菜单</x:v>
      </x:c>
      <x:c r="B4" s="18" t="str">
        <x:v>子菜单/页面</x:v>
      </x:c>
      <x:c r="C4" s="18" t="str">
        <x:v>路由</x:v>
      </x:c>
      <x:c r="D4" s="18" t="str">
        <x:v>组件</x:v>
      </x:c>
      <x:c r="E4" s="18" t="str">
        <x:v>说明</x:v>
      </x:c>
    </x:row>
    <x:row r="5">
      <x:c r="A5" s="19" t="str">
        <x:v>工作台</x:v>
      </x:c>
      <x:c r="B5" s="19" t="str">
        <x:v>工作台</x:v>
      </x:c>
      <x:c r="C5" s="19" t="str">
        <x:v>/</x:v>
      </x:c>
      <x:c r="D5" s="19" t="str">
        <x:v>Dashboard</x:v>
      </x:c>
      <x:c r="E5" s="19" t="str">
        <x:v>首页仪表盘</x:v>
      </x:c>
    </x:row>
    <x:row r="6">
      <x:c r="A6" s="19" t="str">
        <x:v>工作台</x:v>
      </x:c>
      <x:c r="B6" s="19" t="str">
        <x:v>个人工作台</x:v>
      </x:c>
      <x:c r="C6" s="19" t="str">
        <x:v>/workbench</x:v>
      </x:c>
      <x:c r="D6" s="19" t="str">
        <x:v>PersonalWorkbench</x:v>
      </x:c>
      <x:c r="E6" s="19" t="str">
        <x:v>个人待办与能力面板</x:v>
      </x:c>
    </x:row>
    <x:row r="7">
      <x:c r="A7" s="19" t="str">
        <x:v>线索管理</x:v>
      </x:c>
      <x:c r="B7" s="19" t="str">
        <x:v>公海线索</x:v>
      </x:c>
      <x:c r="C7" s="19" t="str">
        <x:v>/leads/public</x:v>
      </x:c>
      <x:c r="D7" s="19" t="str">
        <x:v>PublicLeads</x:v>
      </x:c>
      <x:c r="E7" s="19" t="str">
        <x:v>公海池</x:v>
      </x:c>
    </x:row>
    <x:row r="8">
      <x:c r="A8" s="19" t="str">
        <x:v>线索管理</x:v>
      </x:c>
      <x:c r="B8" s="19" t="str">
        <x:v>我的线索</x:v>
      </x:c>
      <x:c r="C8" s="19" t="str">
        <x:v>/leads/my</x:v>
      </x:c>
      <x:c r="D8" s="19" t="str">
        <x:v>MyLeads</x:v>
      </x:c>
      <x:c r="E8" s="19" t="str">
        <x:v>私有线索</x:v>
      </x:c>
    </x:row>
    <x:row r="9">
      <x:c r="A9" s="19" t="str">
        <x:v>线索管理</x:v>
      </x:c>
      <x:c r="B9" s="19" t="str">
        <x:v>垃圾线索</x:v>
      </x:c>
      <x:c r="C9" s="19" t="str">
        <x:v>/leads/trash</x:v>
      </x:c>
      <x:c r="D9" s="19" t="str">
        <x:v>TrashLeads</x:v>
      </x:c>
      <x:c r="E9" s="19" t="str">
        <x:v>无效线索池</x:v>
      </x:c>
    </x:row>
    <x:row r="10">
      <x:c r="A10" s="19" t="str">
        <x:v>线索管理</x:v>
      </x:c>
      <x:c r="B10" s="19" t="str">
        <x:v>线索治理</x:v>
      </x:c>
      <x:c r="C10" s="19" t="str">
        <x:v>/leads/governance</x:v>
      </x:c>
      <x:c r="D10" s="19" t="str">
        <x:v>LeadGovernance</x:v>
      </x:c>
      <x:c r="E10" s="19" t="str">
        <x:v>跟进达标与违规治理</x:v>
      </x:c>
    </x:row>
    <x:row r="11">
      <x:c r="A11" s="19" t="str">
        <x:v>线索管理</x:v>
      </x:c>
      <x:c r="B11" s="19" t="str">
        <x:v>线索详情</x:v>
      </x:c>
      <x:c r="C11" s="19" t="str">
        <x:v>/leads/:id</x:v>
      </x:c>
      <x:c r="D11" s="19" t="str">
        <x:v>LeadDetail</x:v>
      </x:c>
      <x:c r="E11" s="19" t="str">
        <x:v>线索详情聚合页</x:v>
      </x:c>
    </x:row>
    <x:row r="12">
      <x:c r="A12" s="19" t="str">
        <x:v>线索成本</x:v>
      </x:c>
      <x:c r="B12" s="19" t="str">
        <x:v>成本看板</x:v>
      </x:c>
      <x:c r="C12" s="19" t="str">
        <x:v>/lead-cost/dashboard</x:v>
      </x:c>
      <x:c r="D12" s="19" t="str">
        <x:v>LeadCostDashboard</x:v>
      </x:c>
      <x:c r="E12" s="19" t="str">
        <x:v>投放成本总览</x:v>
      </x:c>
    </x:row>
    <x:row r="13">
      <x:c r="A13" s="19" t="str">
        <x:v>线索成本</x:v>
      </x:c>
      <x:c r="B13" s="19" t="str">
        <x:v>投放日报</x:v>
      </x:c>
      <x:c r="C13" s="19" t="str">
        <x:v>/lead-cost/daily</x:v>
      </x:c>
      <x:c r="D13" s="19" t="str">
        <x:v>LeadCostDaily</x:v>
      </x:c>
      <x:c r="E13" s="19" t="str">
        <x:v>日消耗记录</x:v>
      </x:c>
    </x:row>
    <x:row r="14">
      <x:c r="A14" s="19" t="str">
        <x:v>线索成本</x:v>
      </x:c>
      <x:c r="B14" s="19" t="str">
        <x:v>充值记录</x:v>
      </x:c>
      <x:c r="C14" s="19" t="str">
        <x:v>/lead-cost/recharge</x:v>
      </x:c>
      <x:c r="D14" s="19" t="str">
        <x:v>LeadCostRecharge</x:v>
      </x:c>
      <x:c r="E14" s="19" t="str">
        <x:v>广告充值</x:v>
      </x:c>
    </x:row>
    <x:row r="15">
      <x:c r="A15" s="19" t="str">
        <x:v>线索成本</x:v>
      </x:c>
      <x:c r="B15" s="19" t="str">
        <x:v>渠道分析</x:v>
      </x:c>
      <x:c r="C15" s="19" t="str">
        <x:v>/lead-cost/analysis</x:v>
      </x:c>
      <x:c r="D15" s="19" t="str">
        <x:v>LeadCostAnalysis</x:v>
      </x:c>
      <x:c r="E15" s="19" t="str">
        <x:v>渠道 ROI 初步分析</x:v>
      </x:c>
    </x:row>
    <x:row r="16">
      <x:c r="A16" s="19" t="str">
        <x:v>客户管理</x:v>
      </x:c>
      <x:c r="B16" s="19" t="str">
        <x:v>客户列表</x:v>
      </x:c>
      <x:c r="C16" s="19" t="str">
        <x:v>/customers</x:v>
      </x:c>
      <x:c r="D16" s="19" t="str">
        <x:v>Customers</x:v>
      </x:c>
      <x:c r="E16" s="19" t="str">
        <x:v>客户主体管理</x:v>
      </x:c>
    </x:row>
    <x:row r="17">
      <x:c r="A17" s="19" t="str">
        <x:v>客户管理</x:v>
      </x:c>
      <x:c r="B17" s="19" t="str">
        <x:v>客户详情</x:v>
      </x:c>
      <x:c r="C17" s="19" t="str">
        <x:v>/customers/:id</x:v>
      </x:c>
      <x:c r="D17" s="19" t="str">
        <x:v>CustomerDetail</x:v>
      </x:c>
      <x:c r="E17" s="19" t="str">
        <x:v>客户 360 视图</x:v>
      </x:c>
    </x:row>
    <x:row r="18">
      <x:c r="A18" s="19" t="str">
        <x:v>合同管理</x:v>
      </x:c>
      <x:c r="B18" s="19" t="str">
        <x:v>合同列表</x:v>
      </x:c>
      <x:c r="C18" s="19" t="str">
        <x:v>/contracts</x:v>
      </x:c>
      <x:c r="D18" s="19" t="str">
        <x:v>Contracts</x:v>
      </x:c>
      <x:c r="E18" s="19" t="str">
        <x:v>合同台账</x:v>
      </x:c>
    </x:row>
    <x:row r="19">
      <x:c r="A19" s="19" t="str">
        <x:v>合同管理</x:v>
      </x:c>
      <x:c r="B19" s="19" t="str">
        <x:v>新建合同</x:v>
      </x:c>
      <x:c r="C19" s="19" t="str">
        <x:v>/contracts/new</x:v>
      </x:c>
      <x:c r="D19" s="19" t="str">
        <x:v>ContractWizard</x:v>
      </x:c>
      <x:c r="E19" s="19" t="str">
        <x:v>合同 Wizard</x:v>
      </x:c>
    </x:row>
    <x:row r="20">
      <x:c r="A20" s="19" t="str">
        <x:v>合同管理</x:v>
      </x:c>
      <x:c r="B20" s="19" t="str">
        <x:v>编辑合同</x:v>
      </x:c>
      <x:c r="C20" s="19" t="str">
        <x:v>/contracts/:id/edit</x:v>
      </x:c>
      <x:c r="D20" s="19" t="str">
        <x:v>ContractEditor</x:v>
      </x:c>
      <x:c r="E20" s="19" t="str">
        <x:v>合同编辑</x:v>
      </x:c>
    </x:row>
    <x:row r="21">
      <x:c r="A21" s="19" t="str">
        <x:v>合同管理</x:v>
      </x:c>
      <x:c r="B21" s="19" t="str">
        <x:v>回款看板</x:v>
      </x:c>
      <x:c r="C21" s="19" t="str">
        <x:v>/contracts/payments</x:v>
      </x:c>
      <x:c r="D21" s="19" t="str">
        <x:v>PaymentKanban</x:v>
      </x:c>
      <x:c r="E21" s="19" t="str">
        <x:v>全合同回款 Kanban</x:v>
      </x:c>
    </x:row>
    <x:row r="22">
      <x:c r="A22" s="19" t="str">
        <x:v>合同管理</x:v>
      </x:c>
      <x:c r="B22" s="19" t="str">
        <x:v>回款预测</x:v>
      </x:c>
      <x:c r="C22" s="19" t="str">
        <x:v>/contracts/forecast</x:v>
      </x:c>
      <x:c r="D22" s="19" t="str">
        <x:v>PaymentForecast</x:v>
      </x:c>
      <x:c r="E22" s="19" t="str">
        <x:v>未来现金流预测</x:v>
      </x:c>
    </x:row>
    <x:row r="23">
      <x:c r="A23" s="19" t="str">
        <x:v>合同管理</x:v>
      </x:c>
      <x:c r="B23" s="19" t="str">
        <x:v>合同详情</x:v>
      </x:c>
      <x:c r="C23" s="19" t="str">
        <x:v>/contracts/:id</x:v>
      </x:c>
      <x:c r="D23" s="19" t="str">
        <x:v>ContractDetail</x:v>
      </x:c>
      <x:c r="E23" s="19" t="str">
        <x:v>合同详情</x:v>
      </x:c>
    </x:row>
    <x:row r="24">
      <x:c r="A24" s="19" t="str">
        <x:v>项目管理</x:v>
      </x:c>
      <x:c r="B24" s="19" t="str">
        <x:v>项目列表</x:v>
      </x:c>
      <x:c r="C24" s="19" t="str">
        <x:v>/projects</x:v>
      </x:c>
      <x:c r="D24" s="19" t="str">
        <x:v>Projects</x:v>
      </x:c>
      <x:c r="E24" s="19" t="str">
        <x:v>项目台账</x:v>
      </x:c>
    </x:row>
    <x:row r="25">
      <x:c r="A25" s="19" t="str">
        <x:v>项目管理</x:v>
      </x:c>
      <x:c r="B25" s="19" t="str">
        <x:v>项目详情</x:v>
      </x:c>
      <x:c r="C25" s="19" t="str">
        <x:v>/projects/:id</x:v>
      </x:c>
      <x:c r="D25" s="19" t="str">
        <x:v>ProjectDetail</x:v>
      </x:c>
      <x:c r="E25" s="19" t="str">
        <x:v>项目详情</x:v>
      </x:c>
    </x:row>
    <x:row r="26">
      <x:c r="A26" s="19" t="str">
        <x:v>项目管理</x:v>
      </x:c>
      <x:c r="B26" s="19" t="str">
        <x:v>交付计划</x:v>
      </x:c>
      <x:c r="C26" s="19" t="str">
        <x:v>/projects/:id/delivery</x:v>
      </x:c>
      <x:c r="D26" s="19" t="str">
        <x:v>DeliveryPlanPage</x:v>
      </x:c>
      <x:c r="E26" s="19" t="str">
        <x:v>项目交付计划</x:v>
      </x:c>
    </x:row>
    <x:row r="27">
      <x:c r="A27" s="19" t="str">
        <x:v>日报</x:v>
      </x:c>
      <x:c r="B27" s="19" t="str">
        <x:v>日报列表</x:v>
      </x:c>
      <x:c r="C27" s="19" t="str">
        <x:v>/dailyreport/list</x:v>
      </x:c>
      <x:c r="D27" s="19" t="str">
        <x:v>DailyReportList</x:v>
      </x:c>
      <x:c r="E27" s="19" t="str">
        <x:v>日报查询</x:v>
      </x:c>
    </x:row>
    <x:row r="28">
      <x:c r="A28" s="19" t="str">
        <x:v>日报</x:v>
      </x:c>
      <x:c r="B28" s="19" t="str">
        <x:v>日报视图</x:v>
      </x:c>
      <x:c r="C28" s="19" t="str">
        <x:v>/dailyreport/view</x:v>
      </x:c>
      <x:c r="D28" s="19" t="str">
        <x:v>DailyReportView</x:v>
      </x:c>
      <x:c r="E28" s="19" t="str">
        <x:v>按组织查看日报</x:v>
      </x:c>
    </x:row>
    <x:row r="29">
      <x:c r="A29" s="19" t="str">
        <x:v>日报</x:v>
      </x:c>
      <x:c r="B29" s="19" t="str">
        <x:v>项目视图</x:v>
      </x:c>
      <x:c r="C29" s="19" t="str">
        <x:v>/dailyreport/projectlog</x:v>
      </x:c>
      <x:c r="D29" s="19" t="str">
        <x:v>ProjectLogView</x:v>
      </x:c>
      <x:c r="E29" s="19" t="str">
        <x:v>项目日志</x:v>
      </x:c>
    </x:row>
    <x:row r="30">
      <x:c r="A30" s="19" t="str">
        <x:v>财务管理</x:v>
      </x:c>
      <x:c r="B30" s="19" t="str">
        <x:v>财务统计</x:v>
      </x:c>
      <x:c r="C30" s="19" t="str">
        <x:v>/finance/dashboard</x:v>
      </x:c>
      <x:c r="D30" s="19" t="str">
        <x:v>FinancialDashboard</x:v>
      </x:c>
      <x:c r="E30" s="19" t="str">
        <x:v>合同统计与运营成本</x:v>
      </x:c>
    </x:row>
    <x:row r="31">
      <x:c r="A31" s="19" t="str">
        <x:v>财务管理</x:v>
      </x:c>
      <x:c r="B31" s="19" t="str">
        <x:v>项目成本核算</x:v>
      </x:c>
      <x:c r="C31" s="19" t="str">
        <x:v>/finance/project-cost</x:v>
      </x:c>
      <x:c r="D31" s="19" t="str">
        <x:v>ProjectCostAccounting</x:v>
      </x:c>
      <x:c r="E31" s="19" t="str">
        <x:v>项目利润与成本</x:v>
      </x:c>
    </x:row>
    <x:row r="32">
      <x:c r="A32" s="19" t="str">
        <x:v>财务管理</x:v>
      </x:c>
      <x:c r="B32" s="19" t="str">
        <x:v>工资表</x:v>
      </x:c>
      <x:c r="C32" s="19" t="str">
        <x:v>/finance/salary</x:v>
      </x:c>
      <x:c r="D32" s="19" t="str">
        <x:v>SalaryPage</x:v>
      </x:c>
      <x:c r="E32" s="19" t="str">
        <x:v>工资与实际工时导入</x:v>
      </x:c>
    </x:row>
    <x:row r="33">
      <x:c r="A33" s="19" t="str">
        <x:v>财务管理</x:v>
      </x:c>
      <x:c r="B33" s="19" t="str">
        <x:v>报价管理</x:v>
      </x:c>
      <x:c r="C33" s="19" t="str">
        <x:v>/quotation</x:v>
      </x:c>
      <x:c r="D33" s="19" t="str">
        <x:v>QuotationList</x:v>
      </x:c>
      <x:c r="E33" s="19" t="str">
        <x:v>报价与审批</x:v>
      </x:c>
    </x:row>
    <x:row r="34">
      <x:c r="A34" s="19" t="str">
        <x:v>财务管理</x:v>
      </x:c>
      <x:c r="B34" s="19" t="str">
        <x:v>出差申请</x:v>
      </x:c>
      <x:c r="C34" s="19" t="str">
        <x:v>/businesstrip</x:v>
      </x:c>
      <x:c r="D34" s="19" t="str">
        <x:v>BusinessTripList</x:v>
      </x:c>
      <x:c r="E34" s="19" t="str">
        <x:v>出差审批</x:v>
      </x:c>
    </x:row>
    <x:row r="35">
      <x:c r="A35" s="19" t="str">
        <x:v>财务管理</x:v>
      </x:c>
      <x:c r="B35" s="19" t="str">
        <x:v>报销申请</x:v>
      </x:c>
      <x:c r="C35" s="19" t="str">
        <x:v>/reimbursement</x:v>
      </x:c>
      <x:c r="D35" s="19" t="str">
        <x:v>ReimbursementList</x:v>
      </x:c>
      <x:c r="E35" s="19" t="str">
        <x:v>费用报销</x:v>
      </x:c>
    </x:row>
    <x:row r="36">
      <x:c r="A36" s="19" t="str">
        <x:v>财务管理</x:v>
      </x:c>
      <x:c r="B36" s="19" t="str">
        <x:v>回款与发票</x:v>
      </x:c>
      <x:c r="C36" s="19" t="str">
        <x:v>/paymentinvoice</x:v>
      </x:c>
      <x:c r="D36" s="19" t="str">
        <x:v>PaymentInvoiceList</x:v>
      </x:c>
      <x:c r="E36" s="19" t="str">
        <x:v>票款管理</x:v>
      </x:c>
    </x:row>
    <x:row r="37">
      <x:c r="A37" s="19" t="str">
        <x:v>员工管理</x:v>
      </x:c>
      <x:c r="B37" s="19" t="str">
        <x:v>员工列表</x:v>
      </x:c>
      <x:c r="C37" s="19" t="str">
        <x:v>/employees</x:v>
      </x:c>
      <x:c r="D37" s="19" t="str">
        <x:v>EmployeeList</x:v>
      </x:c>
      <x:c r="E37" s="19" t="str">
        <x:v>员工档案</x:v>
      </x:c>
    </x:row>
    <x:row r="38">
      <x:c r="A38" s="19" t="str">
        <x:v>员工管理</x:v>
      </x:c>
      <x:c r="B38" s="19" t="str">
        <x:v>考勤管理</x:v>
      </x:c>
      <x:c r="C38" s="19" t="str">
        <x:v>/employees/attendance</x:v>
      </x:c>
      <x:c r="D38" s="19" t="str">
        <x:v>AttendanceManagement</x:v>
      </x:c>
      <x:c r="E38" s="19" t="str">
        <x:v>请假/加班/审批</x:v>
      </x:c>
    </x:row>
    <x:row r="39">
      <x:c r="A39" s="19" t="str">
        <x:v>员工管理</x:v>
      </x:c>
      <x:c r="B39" s="19" t="str">
        <x:v>绩效考核</x:v>
      </x:c>
      <x:c r="C39" s="19" t="str">
        <x:v>/employees/performance</x:v>
      </x:c>
      <x:c r="D39" s="19" t="str">
        <x:v>PerformanceManagement</x:v>
      </x:c>
      <x:c r="E39" s="19" t="str">
        <x:v>绩效评分</x:v>
      </x:c>
    </x:row>
    <x:row r="40">
      <x:c r="A40" s="19" t="str">
        <x:v>员工管理</x:v>
      </x:c>
      <x:c r="B40" s="19" t="str">
        <x:v>职级时薪设置</x:v>
      </x:c>
      <x:c r="C40" s="19" t="str">
        <x:v>/employees/level-rates</x:v>
      </x:c>
      <x:c r="D40" s="19" t="str">
        <x:v>LevelRateSettings</x:v>
      </x:c>
      <x:c r="E40" s="19" t="str">
        <x:v>标准时薪</x:v>
      </x:c>
    </x:row>
    <x:row r="41">
      <x:c r="A41" s="19" t="str">
        <x:v>员工管理</x:v>
      </x:c>
      <x:c r="B41" s="19" t="str">
        <x:v>员工详情</x:v>
      </x:c>
      <x:c r="C41" s="19" t="str">
        <x:v>/employees/:id</x:v>
      </x:c>
      <x:c r="D41" s="19" t="str">
        <x:v>EmployeeDetail</x:v>
      </x:c>
      <x:c r="E41" s="19" t="str">
        <x:v>档案/能力/考勤/绩效</x:v>
      </x:c>
    </x:row>
    <x:row r="42">
      <x:c r="A42" s="19" t="str">
        <x:v>系统管理</x:v>
      </x:c>
      <x:c r="B42" s="19" t="str">
        <x:v>组织架构</x:v>
      </x:c>
      <x:c r="C42" s="19" t="str">
        <x:v>/system/organization</x:v>
      </x:c>
      <x:c r="D42" s="19" t="str">
        <x:v>Organization</x:v>
      </x:c>
      <x:c r="E42" s="19" t="str">
        <x:v>部门与人员</x:v>
      </x:c>
    </x:row>
    <x:row r="43">
      <x:c r="A43" s="19" t="str">
        <x:v>系统管理</x:v>
      </x:c>
      <x:c r="B43" s="19" t="str">
        <x:v>用户权限</x:v>
      </x:c>
      <x:c r="C43" s="19" t="str">
        <x:v>/system/permission</x:v>
      </x:c>
      <x:c r="D43" s="19" t="str">
        <x:v>UserPermission</x:v>
      </x:c>
      <x:c r="E43" s="19" t="str">
        <x:v>用户、角色、权限树</x:v>
      </x:c>
    </x:row>
    <x:row r="44">
      <x:c r="A44" s="19" t="str">
        <x:v>系统管理</x:v>
      </x:c>
      <x:c r="B44" s="19" t="str">
        <x:v>本公司主体</x:v>
      </x:c>
      <x:c r="C44" s="19" t="str">
        <x:v>/system/company</x:v>
      </x:c>
      <x:c r="D44" s="19" t="str">
        <x:v>CompanyEntity</x:v>
      </x:c>
      <x:c r="E44" s="19" t="str">
        <x:v>多公司主体资料</x:v>
      </x:c>
    </x:row>
    <x:row r="45">
      <x:c r="A45" s="19" t="str">
        <x:v>系统管理</x:v>
      </x:c>
      <x:c r="B45" s="19" t="str">
        <x:v>数据字典</x:v>
      </x:c>
      <x:c r="C45" s="19" t="str">
        <x:v>/system/dictionary</x:v>
      </x:c>
      <x:c r="D45" s="19" t="str">
        <x:v>Dictionary</x:v>
      </x:c>
      <x:c r="E45" s="19" t="str">
        <x:v>字典分类与字典项</x:v>
      </x:c>
    </x:row>
    <x:row r="46">
      <x:c r="A46" s="19" t="str">
        <x:v>系统管理</x:v>
      </x:c>
      <x:c r="B46" s="19" t="str">
        <x:v>系统日志</x:v>
      </x:c>
      <x:c r="C46" s="19" t="str">
        <x:v>/system/log</x:v>
      </x:c>
      <x:c r="D46" s="19" t="str">
        <x:v>SystemLog</x:v>
      </x:c>
      <x:c r="E46" s="19" t="str">
        <x:v>操作日志/登录日志</x:v>
      </x:c>
    </x:row>
    <x:row r="47">
      <x:c r="A47" s="19" t="str">
        <x:v>系统管理</x:v>
      </x:c>
      <x:c r="B47" s="19" t="str">
        <x:v>系统配置</x:v>
      </x:c>
      <x:c r="C47" s="19" t="str">
        <x:v>/system/config</x:v>
      </x:c>
      <x:c r="D47" s="19" t="str">
        <x:v>SystemConfig</x:v>
      </x:c>
      <x:c r="E47" s="19" t="str">
        <x:v>消息、备份、业务参数</x:v>
      </x:c>
    </x:row>
    <x:row r="48">
      <x:c r="A48" s="19" t="str">
        <x:v>系统管理</x:v>
      </x:c>
      <x:c r="B48" s="19" t="str">
        <x:v>审批模板管理</x:v>
      </x:c>
      <x:c r="C48" s="19" t="str">
        <x:v>/system/workflow</x:v>
      </x:c>
      <x:c r="D48" s="19" t="str">
        <x:v>WorkflowTemplateList</x:v>
      </x:c>
      <x:c r="E48" s="19" t="str">
        <x:v>审批模板</x:v>
      </x:c>
    </x:row>
    <x:row r="49">
      <x:c r="A49" s="19" t="str">
        <x:v>系统管理</x:v>
      </x:c>
      <x:c r="B49" s="19" t="str">
        <x:v>业务审批配置</x:v>
      </x:c>
      <x:c r="C49" s="19" t="str">
        <x:v>/system/bizapproval</x:v>
      </x:c>
      <x:c r="D49" s="19" t="str">
        <x:v>BusinessMappingList</x:v>
      </x:c>
      <x:c r="E49" s="19" t="str">
        <x:v>业务审批链路</x:v>
      </x:c>
    </x:row>
    <x:row r="50">
      <x:c r="A50" s="19" t="str">
        <x:v>系统管理</x:v>
      </x:c>
      <x:c r="B50" s="19" t="str">
        <x:v>费用分类管理</x:v>
      </x:c>
      <x:c r="C50" s="19" t="str">
        <x:v>/system/expensecategory</x:v>
      </x:c>
      <x:c r="D50" s="19" t="str">
        <x:v>ExpenseCategoryManager</x:v>
      </x:c>
      <x:c r="E50" s="19" t="str">
        <x:v>报销费用分类</x:v>
      </x:c>
    </x:row>
    <x:row r="51">
      <x:c r="A51" s="19" t="str">
        <x:v>资产管理</x:v>
      </x:c>
      <x:c r="B51" s="19" t="str">
        <x:v>资产管理</x:v>
      </x:c>
      <x:c r="C51" s="19" t="str">
        <x:v>/assets</x:v>
      </x:c>
      <x:c r="D51" s="19" t="str">
        <x:v>AssetManagement</x:v>
      </x:c>
      <x:c r="E51" s="19" t="str">
        <x:v>IT 资产台账</x:v>
      </x:c>
    </x:row>
    <x:row r="52">
      <x:c r="A52" s="19" t="str">
        <x:v>售后运维</x:v>
      </x:c>
      <x:c r="B52" s="19" t="str">
        <x:v>售后运维</x:v>
      </x:c>
      <x:c r="C52" s="19" t="str">
        <x:v>/maintenance</x:v>
      </x:c>
      <x:c r="D52" s="19" t="str">
        <x:v>MaintenanceManagement</x:v>
      </x:c>
      <x:c r="E52" s="19" t="str">
        <x:v>维护期与客户工单</x:v>
      </x:c>
    </x:row>
    <x:row r="53">
      <x:c r="A53" s="19" t="str">
        <x:v>供应商管理</x:v>
      </x:c>
      <x:c r="B53" s="19" t="str">
        <x:v>供应商管理</x:v>
      </x:c>
      <x:c r="C53" s="19" t="str">
        <x:v>/suppliers</x:v>
      </x:c>
      <x:c r="D53" s="19" t="str">
        <x:v>SupplierManagement</x:v>
      </x:c>
      <x:c r="E53" s="19" t="str">
        <x:v>供应商/分包/付款</x:v>
      </x:c>
    </x:row>
    <x:row r="54">
      <x:c r="A54" s="19" t="str">
        <x:v>知识库</x:v>
      </x:c>
      <x:c r="B54" s="19" t="str">
        <x:v>知识库</x:v>
      </x:c>
      <x:c r="C54" s="19" t="str">
        <x:v>/knowledge</x:v>
      </x:c>
      <x:c r="D54" s="19" t="str">
        <x:v>KnowledgeBase</x:v>
      </x:c>
      <x:c r="E54" s="19" t="str">
        <x:v>文档与模板</x:v>
      </x:c>
    </x:row>
    <x:row r="55">
      <x:c r="A55" s="19" t="str">
        <x:v>会议管理</x:v>
      </x:c>
      <x:c r="B55" s="19" t="str">
        <x:v>会议管理</x:v>
      </x:c>
      <x:c r="C55" s="19" t="str">
        <x:v>/meetings</x:v>
      </x:c>
      <x:c r="D55" s="19" t="str">
        <x:v>MeetingManagement</x:v>
      </x:c>
      <x:c r="E55" s="19" t="str">
        <x:v>会议与会议室</x:v>
      </x:c>
    </x:row>
    <x:row r="56">
      <x:c r="A56" s="19" t="str">
        <x:v>全链路 ROI</x:v>
      </x:c>
      <x:c r="B56" s="19" t="str">
        <x:v>全链路 ROI</x:v>
      </x:c>
      <x:c r="C56" s="19" t="str">
        <x:v>/roi</x:v>
      </x:c>
      <x:c r="D56" s="19" t="str">
        <x:v>FullChainROI</x:v>
      </x:c>
      <x:c r="E56" s="19" t="str">
        <x:v>漏斗、渠道、人员、项目 ROI</x:v>
      </x:c>
    </x:row>
    <x:row r="57">
      <x:c r="A57" s="19" t="str">
        <x:v>AI 智能助手</x:v>
      </x:c>
      <x:c r="B57" s="19" t="str">
        <x:v>AI 智能助手</x:v>
      </x:c>
      <x:c r="C57" s="19" t="str">
        <x:v>/ai</x:v>
      </x:c>
      <x:c r="D57" s="19" t="str">
        <x:v>AIDriven</x:v>
      </x:c>
      <x:c r="E57" s="19" t="str">
        <x:v>任务拆解、人员匹配、节点提醒</x:v>
      </x:c>
    </x:row>
    <x:row r="58">
      <x:c r="A58" s="19" t="str">
        <x:v>数据报表</x:v>
      </x:c>
      <x:c r="B58" s="19" t="str">
        <x:v>数据报表</x:v>
      </x:c>
      <x:c r="C58" s="19" t="str">
        <x:v>/reports</x:v>
      </x:c>
      <x:c r="D58" s="19" t="str">
        <x:v>Reports</x:v>
      </x:c>
      <x:c r="E58" s="19" t="str">
        <x:v>销售与经营报表</x:v>
      </x:c>
    </x:row>
  </x:sheetData>
  <x:mergeCells>
    <x:mergeCell ref="A1:E1"/>
    <x:mergeCell ref="A2:I2"/>
  </x:mergeCells>
  <x:pageMargins left="0.7" right="0.7" top="0.75" bottom="0.75" header="0.3" footer="0.3"/>
  <x:tableParts count="1">
    <x:tablePart xmlns:r="http://schemas.openxmlformats.org/officeDocument/2006/relationships" r:id="Rad096c972e364a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54" hidden="0" customWidth="1"/>
    <x:col min="4" max="4" width="50" hidden="0" customWidth="1"/>
  </x:cols>
  <x:sheetData>
    <x:row r="1" ht="25.5" customHeight="1">
      <x:c r="A1" s="22" t="str">
        <x:v>HubX OA 系统功能清单 - 来源说明</x:v>
      </x:c>
      <x:c r="B1" s="22" t="str">
        <x:v>HubX OA 系统功能清单 - 来源说明</x:v>
      </x:c>
      <x:c r="C1" s="22" t="str">
        <x:v>HubX OA 系统功能清单 - 来源说明</x:v>
      </x:c>
      <x:c r="D1" s="22" t="str">
        <x:v>HubX OA 系统功能清单 - 来源说明</x:v>
      </x:c>
    </x:row>
    <x:row r="2" ht="21" customHeight="1">
      <x:c r="A2" s="23" t="str">
        <x:v>本工作簿只使用当前项目目录内的文档、路由、菜单与前端源码作为来源。</x:v>
      </x:c>
      <x:c r="B2" s="23" t="str">
        <x:v>本工作簿只使用当前项目目录内的文档、路由、菜单与前端源码作为来源。</x:v>
      </x:c>
      <x:c r="C2" s="23" t="str">
        <x:v>本工作簿只使用当前项目目录内的文档、路由、菜单与前端源码作为来源。</x:v>
      </x:c>
      <x:c r="D2" s="23" t="str">
        <x:v>本工作簿只使用当前项目目录内的文档、路由、菜单与前端源码作为来源。</x:v>
      </x:c>
      <x:c r="E2" s="9" t="str">
        <x:v>本工作簿只使用当前项目目录内的文档、路由、菜单与前端源码作为来源。</x:v>
      </x:c>
      <x:c r="F2" s="9" t="str">
        <x:v>本工作簿只使用当前项目目录内的文档、路由、菜单与前端源码作为来源。</x:v>
      </x:c>
      <x:c r="G2" s="9" t="str">
        <x:v>本工作簿只使用当前项目目录内的文档、路由、菜单与前端源码作为来源。</x:v>
      </x:c>
      <x:c r="H2" s="9" t="str">
        <x:v>本工作簿只使用当前项目目录内的文档、路由、菜单与前端源码作为来源。</x:v>
      </x:c>
      <x:c r="I2" s="9" t="str">
        <x:v>本工作簿只使用当前项目目录内的文档、路由、菜单与前端源码作为来源。</x:v>
      </x:c>
    </x:row>
    <x:row r="3">
      <x:c r="A3" s="24"/>
      <x:c r="B3" s="24"/>
      <x:c r="C3" s="24"/>
      <x:c r="D3" s="24"/>
    </x:row>
    <x:row r="4">
      <x:c r="A4" s="18" t="str">
        <x:v>来源类型</x:v>
      </x:c>
      <x:c r="B4" s="18" t="str">
        <x:v>文件/路径</x:v>
      </x:c>
      <x:c r="C4" s="18" t="str">
        <x:v>使用方式</x:v>
      </x:c>
      <x:c r="D4" s="18" t="str">
        <x:v>说明</x:v>
      </x:c>
    </x:row>
    <x:row r="5">
      <x:c r="A5" s="19" t="str">
        <x:v>业务术语</x:v>
      </x:c>
      <x:c r="B5" s="19" t="str">
        <x:v>HubX/CONTEXT.md</x:v>
      </x:c>
      <x:c r="C5" s="19" t="str">
        <x:v>确定系统业务主线、已有模块和规划模块。</x:v>
      </x:c>
      <x:c r="D5" s="19" t="str">
        <x:v>广告投放 -&gt; 线索 -&gt; 客户 -&gt; 合同 -&gt; 项目 -&gt; 交付 -&gt; 利润</x:v>
      </x:c>
    </x:row>
    <x:row r="6">
      <x:c r="A6" s="19" t="str">
        <x:v>需求文档</x:v>
      </x:c>
      <x:c r="B6" s="19" t="str">
        <x:v>OA需求文档.md</x:v>
      </x:c>
      <x:c r="C6" s="19" t="str">
        <x:v>补充项目管理、项目成本核算、日报和公司主体要求。</x:v>
      </x:c>
      <x:c r="D6" s="19" t="str">
        <x:v>偏 OA 1.0 阶段目标</x:v>
      </x:c>
    </x:row>
    <x:row r="7">
      <x:c r="A7" s="19" t="str">
        <x:v>需求池</x:v>
      </x:c>
      <x:c r="B7" s="19" t="str">
        <x:v>原始需求池.md</x:v>
      </x:c>
      <x:c r="C7" s="19" t="str">
        <x:v>补充公司主体、合同统计、工资维护、日报提醒、站内提醒等需求。</x:v>
      </x:c>
      <x:c r="D7" s="19" t="str">
        <x:v>按日期记录需求</x:v>
      </x:c>
    </x:row>
    <x:row r="8">
      <x:c r="A8" s="19" t="str">
        <x:v>导入需求</x:v>
      </x:c>
      <x:c r="B8" s="19" t="str">
        <x:v>HubX/src/imports/运营管理系统第一阶段功能列表.md</x:v>
      </x:c>
      <x:c r="C8" s="19" t="str">
        <x:v>补充系统管理、客户管理、线索管理的详细功能。</x:v>
      </x:c>
      <x:c r="D8" s="19" t="str">
        <x:v>第一阶段售前与基础能力</x:v>
      </x:c>
    </x:row>
    <x:row r="9">
      <x:c r="A9" s="19" t="str">
        <x:v>导入规划</x:v>
      </x:c>
      <x:c r="B9" s="19" t="str">
        <x:v>HubX/src/imports/销售管理系统功能规划.md</x:v>
      </x:c>
      <x:c r="C9" s="19" t="str">
        <x:v>补充 L2C 全链路、合同交易、项目交付、数据洞察。</x:v>
      </x:c>
      <x:c r="D9" s="19" t="str">
        <x:v>销售管理系统规划</x:v>
      </x:c>
    </x:row>
    <x:row r="10">
      <x:c r="A10" s="19" t="str">
        <x:v>路由</x:v>
      </x:c>
      <x:c r="B10" s="19" t="str">
        <x:v>HubX/src/app/routes.tsx</x:v>
      </x:c>
      <x:c r="C10" s="19" t="str">
        <x:v>确认实际存在的页面路由与组件。</x:v>
      </x:c>
      <x:c r="D10" s="19" t="str">
        <x:v>作为当前菜单页面状态依据</x:v>
      </x:c>
    </x:row>
    <x:row r="11">
      <x:c r="A11" s="19" t="str">
        <x:v>菜单</x:v>
      </x:c>
      <x:c r="B11" s="19" t="str">
        <x:v>HubX/src/app/components/MainLayout.tsx</x:v>
      </x:c>
      <x:c r="C11" s="19" t="str">
        <x:v>确认左侧菜单和顶部入口。</x:v>
      </x:c>
      <x:c r="D11" s="19" t="str">
        <x:v>作为当前导航状态依据</x:v>
      </x:c>
    </x:row>
    <x:row r="12">
      <x:c r="A12" s="19" t="str">
        <x:v>设计规格</x:v>
      </x:c>
      <x:c r="B12" s="19" t="str">
        <x:v>HubX/docs/superpowers/specs/*.md</x:v>
      </x:c>
      <x:c r="C12" s="19" t="str">
        <x:v>补充合同回款、员工管理、能力建模、项目管理、提醒等详细设计。</x:v>
      </x:c>
      <x:c r="D12" s="19" t="str">
        <x:v>作为规划/原型依据</x:v>
      </x:c>
    </x:row>
    <x:row r="13">
      <x:c r="A13" s="19" t="str">
        <x:v>代码目录</x:v>
      </x:c>
      <x:c r="B13" s="19" t="str">
        <x:v>HubX/src/app/pages/**/*</x:v>
      </x:c>
      <x:c r="C13" s="19" t="str">
        <x:v>确认页面原型、弹窗、表格和核心操作。</x:v>
      </x:c>
      <x:c r="D13" s="19" t="str">
        <x:v>不代表已接真实后端</x:v>
      </x:c>
    </x:row>
  </x:sheetData>
  <x:mergeCells>
    <x:mergeCell ref="A1:D1"/>
    <x:mergeCell ref="A2:I2"/>
  </x:mergeCells>
  <x:pageMargins left="0.7" right="0.7" top="0.75" bottom="0.75" header="0.3" footer="0.3"/>
  <x:tableParts count="1">
    <x:tablePart xmlns:r="http://schemas.openxmlformats.org/officeDocument/2006/relationships" r:id="R36bc7bdf948c4ac6"/>
  </x:tableParts>
</x:worksheet>
</file>