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80"/>
  </bookViews>
  <sheets>
    <sheet name="功能需求清单" sheetId="1" r:id="rId1"/>
    <sheet name="统计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<sst xmlns="http://schemas.openxmlformats.org/spreadsheetml/2006/main" count="121" uniqueCount="112">
  <si>
    <t>序号</t>
  </si>
  <si>
    <t>功能模块</t>
  </si>
  <si>
    <t>子功能</t>
  </si>
  <si>
    <t>功能描述</t>
  </si>
  <si>
    <t>备注</t>
  </si>
  <si>
    <t>产品/人天</t>
  </si>
  <si>
    <t>ui/人天</t>
  </si>
  <si>
    <t>前端/人天</t>
  </si>
  <si>
    <t>后端/人天</t>
  </si>
  <si>
    <t>测试/人天</t>
  </si>
  <si>
    <t>小计</t>
  </si>
  <si>
    <t>首页展示</t>
  </si>
  <si>
    <t>品牌Banner轮播</t>
  </si>
  <si>
    <t>首页顶部轮播展示品牌核心宣传内容，支持图片/视频轮播，展示最新产品、活动、品牌理念等</t>
  </si>
  <si>
    <t>支持后台配置轮播内容</t>
  </si>
  <si>
    <t>快捷入口导航</t>
  </si>
  <si>
    <t>首页设置核心功能快捷入口，如产品中心、技术与研发、联系我们、客户留资等</t>
  </si>
  <si>
    <t>可自定义图标和跳转链接</t>
  </si>
  <si>
    <t>热点内容推荐</t>
  </si>
  <si>
    <t>首页推荐最新新闻资讯、热门产品、行业洞察等内容</t>
  </si>
  <si>
    <t>支持手动设置推荐内容</t>
  </si>
  <si>
    <t>市场行业分类入口</t>
  </si>
  <si>
    <t>展示行业分类入口</t>
  </si>
  <si>
    <t>点击进入对应行业解决方案页</t>
  </si>
  <si>
    <t>关于我们</t>
  </si>
  <si>
    <t>公司简介</t>
  </si>
  <si>
    <t>图文展示贵公司简介</t>
  </si>
  <si>
    <t>支持图文+视频展示</t>
  </si>
  <si>
    <t>发展历程</t>
  </si>
  <si>
    <t>企业发展里程碑</t>
  </si>
  <si>
    <t>时间轴交互展示</t>
  </si>
  <si>
    <t>企业文化与使命</t>
  </si>
  <si>
    <t>展示企业使命、核心价值观、ESG理念等</t>
  </si>
  <si>
    <t>产品中心</t>
  </si>
  <si>
    <t>产品分类导航</t>
  </si>
  <si>
    <t>按产品型分类</t>
  </si>
  <si>
    <t>支持多级分类</t>
  </si>
  <si>
    <t>创新产品推荐</t>
  </si>
  <si>
    <t>展示创新产品</t>
  </si>
  <si>
    <t>可设置热门标签</t>
  </si>
  <si>
    <t>产品详情展示</t>
  </si>
  <si>
    <t>单个产品详情页，包含产品图片、规格参数、材料结构、应用场景、优势特点、相关产品推荐等</t>
  </si>
  <si>
    <t>可转发商品详情到微信、收藏商品、联系我们</t>
  </si>
  <si>
    <t>产品搜索</t>
  </si>
  <si>
    <t>支持关键词搜索产品名称、类别、应用行业等</t>
  </si>
  <si>
    <t>支持模糊搜索和筛选</t>
  </si>
  <si>
    <t>新闻资讯</t>
  </si>
  <si>
    <t>公司新闻</t>
  </si>
  <si>
    <t>展示企业最新新闻、公告、财报信息等，如领导层任命、工厂扩建、获奖消息等</t>
  </si>
  <si>
    <t>列表+详情页</t>
  </si>
  <si>
    <t>行业资讯/洞察</t>
  </si>
  <si>
    <t>发布行业趋势分析、包装技术洞察、市场研究报告等内容</t>
  </si>
  <si>
    <t>支持分类浏览</t>
  </si>
  <si>
    <t>活动与展会</t>
  </si>
  <si>
    <t>展示即将参加的行业展会和会议信息支持日历提醒</t>
  </si>
  <si>
    <t>支持添加到日历</t>
  </si>
  <si>
    <t>成功案例</t>
  </si>
  <si>
    <t>展示与客户合作的包装解决方案案例</t>
  </si>
  <si>
    <t>图文+视频展示</t>
  </si>
  <si>
    <t>客户留资</t>
  </si>
  <si>
    <t>在线留资表单</t>
  </si>
  <si>
    <t>提供结构化留资表单，字段包括：姓名、手机号或微信号</t>
  </si>
  <si>
    <t>支持表单验证</t>
  </si>
  <si>
    <t>留资成功反馈</t>
  </si>
  <si>
    <t>提交成功后显示感谢页面，告知预计响应时间，并提供相关资源推荐</t>
  </si>
  <si>
    <t>可配置自动回复</t>
  </si>
  <si>
    <t>留资数据管理</t>
  </si>
  <si>
    <t>后台管理所有留资数据，支持筛选、导出</t>
  </si>
  <si>
    <t>会员中心</t>
  </si>
  <si>
    <t>注册/登录</t>
  </si>
  <si>
    <t>支持手机号+验证码注册，微信授权登录</t>
  </si>
  <si>
    <t>我的留资/咨询记录</t>
  </si>
  <si>
    <t>用户可查看自己提交的留资记录、咨询记录和处理进度</t>
  </si>
  <si>
    <t>我的收藏</t>
  </si>
  <si>
    <t>用户可收藏感兴趣的产品、解决方案、新闻等</t>
  </si>
  <si>
    <t>后台管理</t>
  </si>
  <si>
    <t>内容管理系统(CMS)</t>
  </si>
  <si>
    <t>支持图文、视频、文件等多媒体内容的发布、编辑、排序、上下架</t>
  </si>
  <si>
    <t>富文本编辑器</t>
  </si>
  <si>
    <t>产品管理</t>
  </si>
  <si>
    <t>产品信息的新增、编辑、分类管理、上下架</t>
  </si>
  <si>
    <t>数据统计分析</t>
  </si>
  <si>
    <t>访问量、页面浏览、用户行为、留资转化等数据统计</t>
  </si>
  <si>
    <t>可视化报表</t>
  </si>
  <si>
    <t>用户管理</t>
  </si>
  <si>
    <t>后台用户权限管理、角色分配</t>
  </si>
  <si>
    <t>SEO优化配置</t>
  </si>
  <si>
    <t>页面标题、描述、关键词等SEO元素配置</t>
  </si>
  <si>
    <t/>
  </si>
  <si>
    <t>合计</t>
  </si>
  <si>
    <t>26 个子功能</t>
  </si>
  <si>
    <t>共 7 个模块</t>
  </si>
  <si>
    <t>子功能数量</t>
  </si>
  <si>
    <t>说明</t>
  </si>
  <si>
    <t>品牌第一印象，快捷导航，引导用户深入了解</t>
  </si>
  <si>
    <t>企业背景、文化、实力、全球布局</t>
  </si>
  <si>
    <t>按类型和行业展示全线包装产品和解决方案</t>
  </si>
  <si>
    <t>技术与研发</t>
  </si>
  <si>
    <t>研发中心、Catalyst平台、核心技术能力</t>
  </si>
  <si>
    <t>可持续发展</t>
  </si>
  <si>
    <t>ESG战略、环保产品、碳足迹评估工具</t>
  </si>
  <si>
    <t>设备与服务</t>
  </si>
  <si>
    <t>包装设备、设计/测试/技术支持服务</t>
  </si>
  <si>
    <t>公司新闻、行业洞察、展会活动、成功案例</t>
  </si>
  <si>
    <t>★核心功能★ 多渠道留资收集，样品申请，线索管理</t>
  </si>
  <si>
    <t>联系与服务</t>
  </si>
  <si>
    <t>联系方式、在线客服、地图导航、FAQ</t>
  </si>
  <si>
    <t>微信公众号生态</t>
  </si>
  <si>
    <t>公众号联动、微信授权、社交分享</t>
  </si>
  <si>
    <t>用户账户、个人中心和记录管理（可选）</t>
  </si>
  <si>
    <t>内容管理、线索管理、数据统计等后台功能</t>
  </si>
  <si>
    <t>12个模块，68个子功能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</si>
</sst>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name val="Calibri"/>
      <charset val="134"/>
    </font>
    <font>
      <i/>
      <sz val="9"/>
      <color rgb="FF66666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color rgb="FFFFD700"/>
      <name val="宋体"/>
      <charset val="134"/>
      <scheme val="minor"/>
    </font>
    <font>
      <sz val="10"/>
      <color rgb="FFCCCCCC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rgb="FF2F549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1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2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6" fillId="0" borderId="0">
      <alignment vertical="center"/>
    </xf>
    <xf numFmtId="0" fontId="17" fillId="6" borderId="14">
      <alignment vertical="center"/>
    </xf>
    <xf numFmtId="0" fontId="18" fillId="7" borderId="15">
      <alignment vertical="center"/>
    </xf>
    <xf numFmtId="0" fontId="19" fillId="7" borderId="14">
      <alignment vertical="center"/>
    </xf>
    <xf numFmtId="0" fontId="20" fillId="8" borderId="16">
      <alignment vertical="center"/>
    </xf>
    <xf numFmtId="0" fontId="21" fillId="0" borderId="17">
      <alignment vertical="center"/>
    </xf>
    <xf numFmtId="0" fontId="22" fillId="0" borderId="18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176" fontId="8" fillId="0" borderId="9" xfId="0" applyNumberFormat="1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pane ySplit="1" topLeftCell="A2" activePane="bottomLeft" state="frozen"/>
      <selection/>
      <selection pane="bottomLeft" activeCell="H28" sqref="H28:I28"/>
    </sheetView>
  </sheetViews>
  <sheetFormatPr defaultColWidth="9.14423076923077" defaultRowHeight="35" customHeight="1"/>
  <cols>
    <col min="1" max="1" width="6" customWidth="1"/>
    <col min="2" max="2" width="18" customWidth="1"/>
    <col min="3" max="3" width="22" customWidth="1"/>
    <col min="4" max="4" width="50.625" customWidth="1"/>
    <col min="5" max="5" width="20" customWidth="1"/>
    <col min="6" max="6" width="11.875" customWidth="1"/>
    <col min="7" max="7" width="10.875" customWidth="1"/>
    <col min="8" max="8" width="10.25" customWidth="1"/>
    <col min="9" max="9" width="10.375" customWidth="1"/>
    <col min="10" max="10" width="15.5384615384615" customWidth="1"/>
    <col min="11" max="11" width="10.375" customWidth="1"/>
  </cols>
  <sheetData>
    <row r="1" ht="34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4.75" spans="1:11">
      <c r="A2" s="7">
        <v>1</v>
      </c>
      <c r="B2" s="8" t="s">
        <v>11</v>
      </c>
      <c r="C2" s="7" t="s">
        <v>12</v>
      </c>
      <c r="D2" s="7" t="s">
        <v>13</v>
      </c>
      <c r="E2" s="7" t="s">
        <v>14</v>
      </c>
      <c r="F2" s="14">
        <v>0.5</v>
      </c>
      <c r="G2" s="14">
        <v>0.8</v>
      </c>
      <c r="H2" s="14">
        <v>1</v>
      </c>
      <c r="I2" s="14">
        <v>0.8</v>
      </c>
      <c r="J2" s="14">
        <v>0.5</v>
      </c>
      <c r="K2" s="18">
        <f>SUM(F2:J2)</f>
        <v>3.6</v>
      </c>
    </row>
    <row r="3" ht="34.75" spans="1:11">
      <c r="A3" s="7">
        <v>2</v>
      </c>
      <c r="B3" s="9"/>
      <c r="C3" s="7" t="s">
        <v>15</v>
      </c>
      <c r="D3" s="7" t="s">
        <v>16</v>
      </c>
      <c r="E3" s="7" t="s">
        <v>17</v>
      </c>
      <c r="F3" s="15"/>
      <c r="G3" s="15"/>
      <c r="H3" s="15"/>
      <c r="I3" s="15"/>
      <c r="J3" s="15"/>
      <c r="K3" s="19"/>
    </row>
    <row r="4" ht="34.75" spans="1:11">
      <c r="A4" s="7">
        <v>4</v>
      </c>
      <c r="B4" s="9"/>
      <c r="C4" s="7" t="s">
        <v>18</v>
      </c>
      <c r="D4" s="7" t="s">
        <v>19</v>
      </c>
      <c r="E4" s="7" t="s">
        <v>20</v>
      </c>
      <c r="F4" s="15"/>
      <c r="G4" s="15"/>
      <c r="H4" s="15"/>
      <c r="I4" s="15"/>
      <c r="J4" s="15"/>
      <c r="K4" s="19"/>
    </row>
    <row r="5" ht="34.75" spans="1:11">
      <c r="A5" s="7">
        <v>5</v>
      </c>
      <c r="B5" s="10"/>
      <c r="C5" s="7" t="s">
        <v>21</v>
      </c>
      <c r="D5" s="7" t="s">
        <v>22</v>
      </c>
      <c r="E5" s="7" t="s">
        <v>23</v>
      </c>
      <c r="F5" s="16"/>
      <c r="G5" s="16"/>
      <c r="H5" s="16"/>
      <c r="I5" s="16"/>
      <c r="J5" s="16"/>
      <c r="K5" s="20"/>
    </row>
    <row r="6" ht="28" customHeight="1" spans="1:11">
      <c r="A6" s="7">
        <v>6</v>
      </c>
      <c r="B6" s="8" t="s">
        <v>24</v>
      </c>
      <c r="C6" s="7" t="s">
        <v>25</v>
      </c>
      <c r="D6" s="7" t="s">
        <v>26</v>
      </c>
      <c r="E6" s="7" t="s">
        <v>27</v>
      </c>
      <c r="F6" s="14">
        <v>0.4</v>
      </c>
      <c r="G6" s="14">
        <v>0.5</v>
      </c>
      <c r="H6" s="14">
        <v>0.8</v>
      </c>
      <c r="I6" s="14">
        <v>0.7</v>
      </c>
      <c r="J6" s="14">
        <v>0.4</v>
      </c>
      <c r="K6" s="18">
        <f>SUM(F6:J6)</f>
        <v>2.8</v>
      </c>
    </row>
    <row r="7" ht="24" customHeight="1" spans="1:11">
      <c r="A7" s="7">
        <v>7</v>
      </c>
      <c r="B7" s="9"/>
      <c r="C7" s="7" t="s">
        <v>28</v>
      </c>
      <c r="D7" s="7" t="s">
        <v>29</v>
      </c>
      <c r="E7" s="7" t="s">
        <v>30</v>
      </c>
      <c r="F7" s="15"/>
      <c r="G7" s="15"/>
      <c r="H7" s="15"/>
      <c r="I7" s="15"/>
      <c r="J7" s="15"/>
      <c r="K7" s="19"/>
    </row>
    <row r="8" ht="17.75" spans="1:11">
      <c r="A8" s="7">
        <v>8</v>
      </c>
      <c r="B8" s="10"/>
      <c r="C8" s="7" t="s">
        <v>31</v>
      </c>
      <c r="D8" s="7" t="s">
        <v>32</v>
      </c>
      <c r="E8" s="7"/>
      <c r="F8" s="16"/>
      <c r="G8" s="16"/>
      <c r="H8" s="16"/>
      <c r="I8" s="16"/>
      <c r="J8" s="16"/>
      <c r="K8" s="20"/>
    </row>
    <row r="9" ht="17.75" spans="1:11">
      <c r="A9" s="7">
        <v>13</v>
      </c>
      <c r="B9" s="8" t="s">
        <v>33</v>
      </c>
      <c r="C9" s="7" t="s">
        <v>34</v>
      </c>
      <c r="D9" s="7" t="s">
        <v>35</v>
      </c>
      <c r="E9" s="7" t="s">
        <v>36</v>
      </c>
      <c r="F9" s="14">
        <v>0.5</v>
      </c>
      <c r="G9" s="14">
        <v>1</v>
      </c>
      <c r="H9" s="14">
        <v>1</v>
      </c>
      <c r="I9" s="14">
        <v>0.8</v>
      </c>
      <c r="J9" s="14">
        <v>0.5</v>
      </c>
      <c r="K9" s="18">
        <f>SUM(F9:J9)</f>
        <v>3.8</v>
      </c>
    </row>
    <row r="10" ht="17.75" spans="1:11">
      <c r="A10" s="7">
        <v>17</v>
      </c>
      <c r="B10" s="9"/>
      <c r="C10" s="7" t="s">
        <v>37</v>
      </c>
      <c r="D10" s="7" t="s">
        <v>38</v>
      </c>
      <c r="E10" s="7" t="s">
        <v>39</v>
      </c>
      <c r="F10" s="15"/>
      <c r="G10" s="15"/>
      <c r="H10" s="15"/>
      <c r="I10" s="15"/>
      <c r="J10" s="15"/>
      <c r="K10" s="19"/>
    </row>
    <row r="11" ht="51.75" spans="1:11">
      <c r="A11" s="7">
        <v>18</v>
      </c>
      <c r="B11" s="9"/>
      <c r="C11" s="7" t="s">
        <v>40</v>
      </c>
      <c r="D11" s="7" t="s">
        <v>41</v>
      </c>
      <c r="E11" s="7" t="s">
        <v>42</v>
      </c>
      <c r="F11" s="15"/>
      <c r="G11" s="15"/>
      <c r="H11" s="15"/>
      <c r="I11" s="15"/>
      <c r="J11" s="15"/>
      <c r="K11" s="19"/>
    </row>
    <row r="12" ht="34.75" spans="1:11">
      <c r="A12" s="7">
        <v>19</v>
      </c>
      <c r="B12" s="10"/>
      <c r="C12" s="7" t="s">
        <v>43</v>
      </c>
      <c r="D12" s="7" t="s">
        <v>44</v>
      </c>
      <c r="E12" s="7" t="s">
        <v>45</v>
      </c>
      <c r="F12" s="16"/>
      <c r="G12" s="16"/>
      <c r="H12" s="16"/>
      <c r="I12" s="16"/>
      <c r="J12" s="16"/>
      <c r="K12" s="20"/>
    </row>
    <row r="13" ht="34.75" spans="1:11">
      <c r="A13" s="7">
        <v>33</v>
      </c>
      <c r="B13" s="8" t="s">
        <v>46</v>
      </c>
      <c r="C13" s="7" t="s">
        <v>47</v>
      </c>
      <c r="D13" s="7" t="s">
        <v>48</v>
      </c>
      <c r="E13" s="7" t="s">
        <v>49</v>
      </c>
      <c r="F13" s="14">
        <v>0.5</v>
      </c>
      <c r="G13" s="14">
        <v>1</v>
      </c>
      <c r="H13" s="14">
        <v>1.5</v>
      </c>
      <c r="I13" s="14">
        <v>1</v>
      </c>
      <c r="J13" s="14">
        <v>0.5</v>
      </c>
      <c r="K13" s="18">
        <f>SUM(F13:J13)</f>
        <v>4.5</v>
      </c>
    </row>
    <row r="14" ht="34.75" spans="1:11">
      <c r="A14" s="7">
        <v>34</v>
      </c>
      <c r="B14" s="9"/>
      <c r="C14" s="7" t="s">
        <v>50</v>
      </c>
      <c r="D14" s="7" t="s">
        <v>51</v>
      </c>
      <c r="E14" s="7" t="s">
        <v>52</v>
      </c>
      <c r="F14" s="15"/>
      <c r="G14" s="15"/>
      <c r="H14" s="15"/>
      <c r="I14" s="15"/>
      <c r="J14" s="15"/>
      <c r="K14" s="19"/>
    </row>
    <row r="15" ht="17.75" spans="1:11">
      <c r="A15" s="7">
        <v>35</v>
      </c>
      <c r="B15" s="9"/>
      <c r="C15" s="7" t="s">
        <v>53</v>
      </c>
      <c r="D15" s="7" t="s">
        <v>54</v>
      </c>
      <c r="E15" s="7" t="s">
        <v>55</v>
      </c>
      <c r="F15" s="15"/>
      <c r="G15" s="15"/>
      <c r="H15" s="15"/>
      <c r="I15" s="15"/>
      <c r="J15" s="15"/>
      <c r="K15" s="19"/>
    </row>
    <row r="16" ht="17.75" spans="1:11">
      <c r="A16" s="7">
        <v>36</v>
      </c>
      <c r="B16" s="10"/>
      <c r="C16" s="7" t="s">
        <v>56</v>
      </c>
      <c r="D16" s="7" t="s">
        <v>57</v>
      </c>
      <c r="E16" s="7" t="s">
        <v>58</v>
      </c>
      <c r="F16" s="16"/>
      <c r="G16" s="16"/>
      <c r="H16" s="16"/>
      <c r="I16" s="16"/>
      <c r="J16" s="16"/>
      <c r="K16" s="20"/>
    </row>
    <row r="17" ht="34.75" spans="1:11">
      <c r="A17" s="7">
        <v>38</v>
      </c>
      <c r="B17" s="8" t="s">
        <v>59</v>
      </c>
      <c r="C17" s="7" t="s">
        <v>60</v>
      </c>
      <c r="D17" s="7" t="s">
        <v>61</v>
      </c>
      <c r="E17" s="7" t="s">
        <v>62</v>
      </c>
      <c r="F17" s="14">
        <v>0.5</v>
      </c>
      <c r="G17" s="14">
        <v>0.5</v>
      </c>
      <c r="H17" s="14">
        <v>1</v>
      </c>
      <c r="I17" s="14">
        <v>1</v>
      </c>
      <c r="J17" s="14">
        <v>0.5</v>
      </c>
      <c r="K17" s="18">
        <f>SUM(F17:J17)</f>
        <v>3.5</v>
      </c>
    </row>
    <row r="18" ht="34.75" spans="1:11">
      <c r="A18" s="7">
        <v>44</v>
      </c>
      <c r="B18" s="9"/>
      <c r="C18" s="7" t="s">
        <v>63</v>
      </c>
      <c r="D18" s="7" t="s">
        <v>64</v>
      </c>
      <c r="E18" s="7" t="s">
        <v>65</v>
      </c>
      <c r="F18" s="15"/>
      <c r="G18" s="15"/>
      <c r="H18" s="15"/>
      <c r="I18" s="15"/>
      <c r="J18" s="15"/>
      <c r="K18" s="19"/>
    </row>
    <row r="19" ht="17.75" spans="1:11">
      <c r="A19" s="7">
        <v>47</v>
      </c>
      <c r="B19" s="10"/>
      <c r="C19" s="7" t="s">
        <v>66</v>
      </c>
      <c r="D19" s="7" t="s">
        <v>67</v>
      </c>
      <c r="E19" s="7"/>
      <c r="F19" s="16"/>
      <c r="G19" s="16"/>
      <c r="H19" s="16"/>
      <c r="I19" s="16"/>
      <c r="J19" s="16"/>
      <c r="K19" s="20"/>
    </row>
    <row r="20" ht="17.75" spans="1:11">
      <c r="A20" s="7">
        <v>58</v>
      </c>
      <c r="B20" s="8" t="s">
        <v>68</v>
      </c>
      <c r="C20" s="7" t="s">
        <v>69</v>
      </c>
      <c r="D20" s="7" t="s">
        <v>70</v>
      </c>
      <c r="E20" s="7"/>
      <c r="F20" s="14">
        <v>0.5</v>
      </c>
      <c r="G20" s="14">
        <v>0.6</v>
      </c>
      <c r="H20" s="14">
        <v>1</v>
      </c>
      <c r="I20" s="14">
        <v>1</v>
      </c>
      <c r="J20" s="14">
        <v>0.6</v>
      </c>
      <c r="K20" s="18">
        <f>SUM(F20:J20)</f>
        <v>3.7</v>
      </c>
    </row>
    <row r="21" ht="34.75" spans="1:11">
      <c r="A21" s="7">
        <v>60</v>
      </c>
      <c r="B21" s="9"/>
      <c r="C21" s="7" t="s">
        <v>71</v>
      </c>
      <c r="D21" s="7" t="s">
        <v>72</v>
      </c>
      <c r="E21" s="7"/>
      <c r="F21" s="15"/>
      <c r="G21" s="15"/>
      <c r="H21" s="15"/>
      <c r="I21" s="15"/>
      <c r="J21" s="15"/>
      <c r="K21" s="19"/>
    </row>
    <row r="22" ht="17.75" spans="1:11">
      <c r="A22" s="7">
        <v>61</v>
      </c>
      <c r="B22" s="10"/>
      <c r="C22" s="7" t="s">
        <v>73</v>
      </c>
      <c r="D22" s="7" t="s">
        <v>74</v>
      </c>
      <c r="E22" s="7"/>
      <c r="F22" s="16"/>
      <c r="G22" s="16"/>
      <c r="H22" s="16"/>
      <c r="I22" s="16"/>
      <c r="J22" s="16"/>
      <c r="K22" s="20"/>
    </row>
    <row r="23" ht="34.75" spans="1:11">
      <c r="A23" s="7">
        <v>63</v>
      </c>
      <c r="B23" s="8" t="s">
        <v>75</v>
      </c>
      <c r="C23" s="7" t="s">
        <v>76</v>
      </c>
      <c r="D23" s="7" t="s">
        <v>77</v>
      </c>
      <c r="E23" s="7" t="s">
        <v>78</v>
      </c>
      <c r="F23" s="14">
        <v>1</v>
      </c>
      <c r="G23" s="14">
        <v>0</v>
      </c>
      <c r="H23" s="14">
        <v>3</v>
      </c>
      <c r="I23" s="14">
        <v>3</v>
      </c>
      <c r="J23" s="14">
        <v>2</v>
      </c>
      <c r="K23" s="18">
        <f>SUM(F23:J23)</f>
        <v>9</v>
      </c>
    </row>
    <row r="24" ht="17.75" spans="1:11">
      <c r="A24" s="7">
        <v>64</v>
      </c>
      <c r="B24" s="9"/>
      <c r="C24" s="7" t="s">
        <v>79</v>
      </c>
      <c r="D24" s="7" t="s">
        <v>80</v>
      </c>
      <c r="E24" s="7"/>
      <c r="F24" s="15"/>
      <c r="G24" s="15"/>
      <c r="H24" s="15"/>
      <c r="I24" s="15"/>
      <c r="J24" s="15"/>
      <c r="K24" s="19"/>
    </row>
    <row r="25" ht="17.75" spans="1:11">
      <c r="A25" s="7">
        <v>66</v>
      </c>
      <c r="B25" s="9"/>
      <c r="C25" s="7" t="s">
        <v>81</v>
      </c>
      <c r="D25" s="7" t="s">
        <v>82</v>
      </c>
      <c r="E25" s="7" t="s">
        <v>83</v>
      </c>
      <c r="F25" s="15"/>
      <c r="G25" s="15"/>
      <c r="H25" s="15"/>
      <c r="I25" s="15"/>
      <c r="J25" s="15"/>
      <c r="K25" s="19"/>
    </row>
    <row r="26" ht="17.75" spans="1:11">
      <c r="A26" s="7">
        <v>67</v>
      </c>
      <c r="B26" s="9"/>
      <c r="C26" s="7" t="s">
        <v>84</v>
      </c>
      <c r="D26" s="7" t="s">
        <v>85</v>
      </c>
      <c r="E26" s="7"/>
      <c r="F26" s="15"/>
      <c r="G26" s="15"/>
      <c r="H26" s="15"/>
      <c r="I26" s="15"/>
      <c r="J26" s="15"/>
      <c r="K26" s="19"/>
    </row>
    <row r="27" ht="17.75" spans="1:11">
      <c r="A27" s="7">
        <v>68</v>
      </c>
      <c r="B27" s="10"/>
      <c r="C27" s="7" t="s">
        <v>86</v>
      </c>
      <c r="D27" s="7" t="s">
        <v>87</v>
      </c>
      <c r="E27" s="7"/>
      <c r="F27" s="16"/>
      <c r="G27" s="16"/>
      <c r="H27" s="16"/>
      <c r="I27" s="16"/>
      <c r="J27" s="16"/>
      <c r="K27" s="20"/>
    </row>
    <row r="28" ht="28" customHeight="1" spans="1:11">
      <c r="A28" s="11" t="s">
        <v>88</v>
      </c>
      <c r="B28" s="12" t="s">
        <v>89</v>
      </c>
      <c r="C28" s="11" t="s">
        <v>90</v>
      </c>
      <c r="D28" s="13" t="s">
        <v>91</v>
      </c>
      <c r="E28" s="11"/>
      <c r="F28" s="17">
        <f>SUM(F2:F27)</f>
        <v>3.9</v>
      </c>
      <c r="G28" s="17">
        <f>SUM(G2:G27)</f>
        <v>4.4</v>
      </c>
      <c r="H28" s="17">
        <f>SUM(H2:H27)</f>
        <v>9.3</v>
      </c>
      <c r="I28" s="17">
        <f>SUM(I2:I27)</f>
        <v>8.3</v>
      </c>
      <c r="J28" s="17">
        <f>SUM(J2:J27)</f>
        <v>5</v>
      </c>
      <c r="K28" s="17">
        <f>SUM(K2:K27)</f>
        <v>30.9</v>
      </c>
    </row>
  </sheetData>
  <mergeCells count="49">
    <mergeCell ref="B2:B5"/>
    <mergeCell ref="B6:B8"/>
    <mergeCell ref="B9:B12"/>
    <mergeCell ref="B13:B16"/>
    <mergeCell ref="B17:B19"/>
    <mergeCell ref="B20:B22"/>
    <mergeCell ref="B23:B27"/>
    <mergeCell ref="F2:F5"/>
    <mergeCell ref="F6:F8"/>
    <mergeCell ref="F9:F12"/>
    <mergeCell ref="F13:F16"/>
    <mergeCell ref="F17:F19"/>
    <mergeCell ref="F20:F22"/>
    <mergeCell ref="F23:F27"/>
    <mergeCell ref="G2:G5"/>
    <mergeCell ref="G6:G8"/>
    <mergeCell ref="G9:G12"/>
    <mergeCell ref="G13:G16"/>
    <mergeCell ref="G17:G19"/>
    <mergeCell ref="G20:G22"/>
    <mergeCell ref="G23:G27"/>
    <mergeCell ref="H2:H5"/>
    <mergeCell ref="H6:H8"/>
    <mergeCell ref="H9:H12"/>
    <mergeCell ref="H13:H16"/>
    <mergeCell ref="H17:H19"/>
    <mergeCell ref="H20:H22"/>
    <mergeCell ref="H23:H27"/>
    <mergeCell ref="I2:I5"/>
    <mergeCell ref="I6:I8"/>
    <mergeCell ref="I9:I12"/>
    <mergeCell ref="I13:I16"/>
    <mergeCell ref="I17:I19"/>
    <mergeCell ref="I20:I22"/>
    <mergeCell ref="I23:I27"/>
    <mergeCell ref="J2:J5"/>
    <mergeCell ref="J6:J8"/>
    <mergeCell ref="J9:J12"/>
    <mergeCell ref="J13:J16"/>
    <mergeCell ref="J17:J19"/>
    <mergeCell ref="J20:J22"/>
    <mergeCell ref="J23:J27"/>
    <mergeCell ref="K2:K5"/>
    <mergeCell ref="K6:K8"/>
    <mergeCell ref="K9:K12"/>
    <mergeCell ref="K13:K16"/>
    <mergeCell ref="K17:K19"/>
    <mergeCell ref="K20:K22"/>
    <mergeCell ref="K23:K27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pane ySplit="1" topLeftCell="A2" activePane="bottomLeft" state="frozen"/>
      <selection/>
      <selection pane="bottomLeft" activeCell="C24" sqref="C24"/>
    </sheetView>
  </sheetViews>
  <sheetFormatPr defaultColWidth="9.14423076923077" defaultRowHeight="15" customHeight="1" outlineLevelCol="6"/>
  <cols>
    <col min="1" max="1" width="22" customWidth="1"/>
    <col min="2" max="2" width="14" customWidth="1"/>
    <col min="3" max="3" width="50" customWidth="1"/>
  </cols>
  <sheetData>
    <row r="1" ht="17" spans="1:3">
      <c r="A1" s="1" t="s">
        <v>1</v>
      </c>
      <c r="B1" s="1" t="s">
        <v>92</v>
      </c>
      <c r="C1" s="1" t="s">
        <v>93</v>
      </c>
    </row>
    <row r="2" ht="16.8" spans="1:3">
      <c r="A2" s="2" t="s">
        <v>11</v>
      </c>
      <c r="B2" s="3">
        <v>5</v>
      </c>
      <c r="C2" s="2" t="s">
        <v>94</v>
      </c>
    </row>
    <row r="3" ht="16.8" spans="1:3">
      <c r="A3" s="2" t="s">
        <v>24</v>
      </c>
      <c r="B3" s="3">
        <v>7</v>
      </c>
      <c r="C3" s="2" t="s">
        <v>95</v>
      </c>
    </row>
    <row r="4" ht="16.8" spans="1:3">
      <c r="A4" s="2" t="s">
        <v>33</v>
      </c>
      <c r="B4" s="3">
        <v>8</v>
      </c>
      <c r="C4" s="2" t="s">
        <v>96</v>
      </c>
    </row>
    <row r="5" ht="16.8" spans="1:3">
      <c r="A5" s="2" t="s">
        <v>97</v>
      </c>
      <c r="B5" s="3">
        <v>4</v>
      </c>
      <c r="C5" s="2" t="s">
        <v>98</v>
      </c>
    </row>
    <row r="6" ht="16.8" spans="1:3">
      <c r="A6" s="2" t="s">
        <v>99</v>
      </c>
      <c r="B6" s="3">
        <v>4</v>
      </c>
      <c r="C6" s="2" t="s">
        <v>100</v>
      </c>
    </row>
    <row r="7" ht="16.8" spans="1:3">
      <c r="A7" s="2" t="s">
        <v>101</v>
      </c>
      <c r="B7" s="3">
        <v>4</v>
      </c>
      <c r="C7" s="2" t="s">
        <v>102</v>
      </c>
    </row>
    <row r="8" ht="16.8" spans="1:3">
      <c r="A8" s="2" t="s">
        <v>46</v>
      </c>
      <c r="B8" s="3">
        <v>5</v>
      </c>
      <c r="C8" s="2" t="s">
        <v>103</v>
      </c>
    </row>
    <row r="9" ht="16.8" spans="1:3">
      <c r="A9" s="2" t="s">
        <v>59</v>
      </c>
      <c r="B9" s="3">
        <v>10</v>
      </c>
      <c r="C9" s="2" t="s">
        <v>104</v>
      </c>
    </row>
    <row r="10" ht="16.8" spans="1:3">
      <c r="A10" s="2" t="s">
        <v>105</v>
      </c>
      <c r="B10" s="3">
        <v>5</v>
      </c>
      <c r="C10" s="2" t="s">
        <v>106</v>
      </c>
    </row>
    <row r="11" ht="16.8" spans="1:3">
      <c r="A11" s="2" t="s">
        <v>107</v>
      </c>
      <c r="B11" s="3">
        <v>5</v>
      </c>
      <c r="C11" s="2" t="s">
        <v>108</v>
      </c>
    </row>
    <row r="12" ht="16.8" spans="1:3">
      <c r="A12" s="2" t="s">
        <v>68</v>
      </c>
      <c r="B12" s="3">
        <v>5</v>
      </c>
      <c r="C12" s="2" t="s">
        <v>109</v>
      </c>
    </row>
    <row r="13" ht="16.8" spans="1:3">
      <c r="A13" s="2" t="s">
        <v>75</v>
      </c>
      <c r="B13" s="3">
        <v>6</v>
      </c>
      <c r="C13" s="2" t="s">
        <v>110</v>
      </c>
    </row>
    <row r="14" ht="16.8" spans="1:3">
      <c r="A14" s="4" t="s">
        <v>89</v>
      </c>
      <c r="B14" s="5">
        <v>68</v>
      </c>
      <c r="C14" s="4" t="s">
        <v>111</v>
      </c>
    </row>
    <row r="17" spans="1:1">
      <c r="A17" s="6"/>
    </row>
  </sheetData>
  <mergeCells count="1">
    <mergeCell ref="A17:G17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功能需求清单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yangphp</cp:lastModifiedBy>
  <dcterms:created xsi:type="dcterms:W3CDTF">2026-07-15T03:31:00Z</dcterms:created>
  <dcterms:modified xsi:type="dcterms:W3CDTF">2026-07-21T13:24:49Z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7644116773759058239-data_volume/files/所有对话/主对话/用户上传/安姆科微官网功能需求清单.xlsx","ReservedCode1":"","ContentPropagator":"001191110102MACQD9K64028705","PropagateID":"889969756620616#1784029431022","ReservedCode2":""}</vt:lpwstr>
  </property>
  <property fmtid="{D5CDD505-2E9C-101B-9397-08002B2CF9AE}" pid="3" name="ICV">
    <vt:lpwstr>BAFF8571BB134C398D6B4CCE29C3F784_13</vt:lpwstr>
  </property>
  <property fmtid="{D5CDD505-2E9C-101B-9397-08002B2CF9AE}" pid="4" name="KSOProductBuildVer">
    <vt:lpwstr>2052-12.1.21938.21938</vt:lpwstr>
  </property>
  <property fmtid="{D5CDD505-2E9C-101B-9397-08002B2CF9AE}" pid="5" name="CalculationRule">
    <vt:i4>0</vt:i4>
  </property>
</Properties>
</file>